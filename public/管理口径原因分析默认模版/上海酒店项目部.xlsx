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2375" activeTab="2"/>
  </bookViews>
  <sheets>
    <sheet sheetId="2" name="目录" state="visible" r:id="rId4"/>
    <sheet sheetId="3" name="合计" state="visible" r:id="rId5"/>
    <sheet sheetId="4" name="上海酒店租赁_合并" state="visible" r:id="rId6"/>
    <sheet sheetId="5" name="上海酒店租赁_222200150213" state="visible" r:id="rId7"/>
    <sheet sheetId="6" name="上海酒店租赁_222200150214" state="visible" r:id="rId8"/>
    <sheet sheetId="7" name="上海酒店" state="visible" r:id="rId9"/>
    <sheet sheetId="8" name="上海酒店能源" state="visible" r:id="rId10"/>
    <sheet sheetId="9" name="商城路配餐TERM" state="visible" r:id="rId11"/>
    <sheet sheetId="10" name="商城路物业TERM" state="visible" r:id="rId12"/>
    <sheet sheetId="11" name="管网配餐TERM" state="visible" r:id="rId13"/>
    <sheet sheetId="12" name="管网物业TERM" state="visible" r:id="rId14"/>
  </sheets>
  <calcPr calcId="171027"/>
</workbook>
</file>

<file path=xl/sharedStrings.xml><?xml version="1.0" encoding="utf-8"?>
<sst xmlns="http://schemas.openxmlformats.org/spreadsheetml/2006/main" count="628" uniqueCount="101">
  <si>
    <t>工作表目录</t>
  </si>
  <si>
    <t>序号</t>
  </si>
  <si>
    <t>工作表名称</t>
  </si>
  <si>
    <t>快捷跳转</t>
  </si>
  <si>
    <t>合计</t>
  </si>
  <si>
    <t>上海酒店租赁_合并</t>
  </si>
  <si>
    <t>上海酒店租赁_222200150213</t>
  </si>
  <si>
    <t>上海酒店租赁_222200150214</t>
  </si>
  <si>
    <t>上海酒店</t>
  </si>
  <si>
    <t>上海酒店能源</t>
  </si>
  <si>
    <t>商城路配餐TERM</t>
  </si>
  <si>
    <t>商城路物业TERM</t>
  </si>
  <si>
    <t>管网配餐TERM</t>
  </si>
  <si>
    <t>管网物业TERM</t>
  </si>
  <si>
    <t>合计预算执行分析（2026年08月）</t>
  </si>
  <si>
    <t>项目</t>
  </si>
  <si>
    <t>本年累计</t>
  </si>
  <si>
    <t>去年同期</t>
  </si>
  <si>
    <t>进度预算</t>
  </si>
  <si>
    <t>全年预算</t>
  </si>
  <si>
    <t xml:space="preserve">同比
增减额</t>
  </si>
  <si>
    <t>变动原因</t>
  </si>
  <si>
    <t>较进度预算增减额</t>
  </si>
  <si>
    <t xml:space="preserve">当月
发生额</t>
  </si>
  <si>
    <t xml:space="preserve">上月
发生额</t>
  </si>
  <si>
    <t>当月预算</t>
  </si>
  <si>
    <t xml:space="preserve">环比
增减额</t>
  </si>
  <si>
    <t>较当月预算增减额</t>
  </si>
  <si>
    <t>一、 营业收入</t>
  </si>
  <si>
    <t>餐饮宴会厅收入较同期减少155万元，中餐厅较同期减少80万元，外接项目结束，租赁户减少，截止至8月空置率29.11%。</t>
  </si>
  <si>
    <t>受宴会厅装修改造因素影响，客房收入减少144万元，宴会收入较预算减少385万元，中餐厅较预算减少113万元，经营性租赁减少60万元。外接项目结束428万元。</t>
  </si>
  <si>
    <t xml:space="preserve">     减:（一）经营性采购支出</t>
  </si>
  <si>
    <t>餐饮收入下降同比食材成本下降。</t>
  </si>
  <si>
    <t xml:space="preserve">         其中：1.外购材料</t>
  </si>
  <si>
    <t xml:space="preserve">            其中：（1）食材耗用</t>
  </si>
  <si>
    <t xml:space="preserve">                      （2）物料消耗</t>
  </si>
  <si>
    <t xml:space="preserve">                      （3）油气管材</t>
  </si>
  <si>
    <t xml:space="preserve">                      （4）其他材料</t>
  </si>
  <si>
    <t xml:space="preserve">                  2.外购燃料</t>
  </si>
  <si>
    <t xml:space="preserve">                  3.外购动力</t>
  </si>
  <si>
    <t xml:space="preserve">                  4.商旅采购成本</t>
  </si>
  <si>
    <t xml:space="preserve">                  5.酒店佣金</t>
  </si>
  <si>
    <t>口径调整在其他固定成本。</t>
  </si>
  <si>
    <t xml:space="preserve">        （二）运输费</t>
  </si>
  <si>
    <t xml:space="preserve">        （三）经营性税费</t>
  </si>
  <si>
    <t xml:space="preserve">        （四）油气分成支出</t>
  </si>
  <si>
    <t xml:space="preserve">        （五）用工薪酬成本</t>
  </si>
  <si>
    <t>与劳务外包合并</t>
  </si>
  <si>
    <t>与劳务外包合并未超</t>
  </si>
  <si>
    <t xml:space="preserve">        （六）外包劳务支出</t>
  </si>
  <si>
    <t>确认跨期外包费用约50万，财务部组建增加人工约35万元。</t>
  </si>
  <si>
    <t>与用工薪酬合并未超</t>
  </si>
  <si>
    <t xml:space="preserve">        （七）维修费</t>
  </si>
  <si>
    <t>去年发生较大的零星维护修缮项目，B2楼整体修缮和文化长廊等项目建设费用54万，酒店整体改造项目的前期报告和评估费用（是暂列费）36万。</t>
  </si>
  <si>
    <t>预算中冷水机组的维修，煤气站搬迁、智慧能源管理系统未实施，共计63万元。</t>
  </si>
  <si>
    <t xml:space="preserve">        （八）租赁费</t>
  </si>
  <si>
    <t xml:space="preserve">        （九）物业采暖费</t>
  </si>
  <si>
    <t xml:space="preserve">        （十）绿化环境卫生费</t>
  </si>
  <si>
    <t xml:space="preserve">        （十一）五项费用</t>
  </si>
  <si>
    <t xml:space="preserve">        （十二）财产性税费(房产、土地）</t>
  </si>
  <si>
    <t xml:space="preserve">        （十三）折旧折耗及摊销</t>
  </si>
  <si>
    <t>员工宿舍租赁口径调整，2025年5月计入此项目。</t>
  </si>
  <si>
    <t xml:space="preserve">        （十四）其他固定成本</t>
  </si>
  <si>
    <t>口径调整，实际中含佣金支出。</t>
  </si>
  <si>
    <t xml:space="preserve">        （十五）行政性罚款</t>
  </si>
  <si>
    <t xml:space="preserve">        （十六）信用减值损失</t>
  </si>
  <si>
    <t xml:space="preserve">        （十七）存货差额调整</t>
  </si>
  <si>
    <t xml:space="preserve">        （十八）财务费用（收益为“-”）</t>
  </si>
  <si>
    <r>
      <rPr>
        <charset val="134"/>
        <color indexed="8"/>
        <sz val="14"/>
        <rFont val="方正仿宋_GBK"/>
      </rPr>
      <t xml:space="preserve">                      其中：</t>
    </r>
    <r>
      <rPr>
        <charset val="134"/>
        <color indexed="8"/>
        <sz val="14"/>
        <rFont val="方正仿宋_GBK"/>
      </rPr>
      <t>利息支出</t>
    </r>
  </si>
  <si>
    <t xml:space="preserve">        （十九）资产处置损益（收益为“-”）</t>
  </si>
  <si>
    <t xml:space="preserve">        （二十）资产减值损失（收益为“-”）</t>
  </si>
  <si>
    <t xml:space="preserve">        （二十一）营业外收支净额（收益为“-”）</t>
  </si>
  <si>
    <t xml:space="preserve">        （二十二）投资收益（收益为“-”）</t>
  </si>
  <si>
    <t xml:space="preserve">        （二十三）其他收益（收益为“-”）</t>
  </si>
  <si>
    <t xml:space="preserve">        （二十四）其他非经常性损益（收益为“-”）</t>
  </si>
  <si>
    <t>二、利润总额</t>
  </si>
  <si>
    <t>三、所得税费用</t>
  </si>
  <si>
    <t>四、净利润</t>
  </si>
  <si>
    <t>上海酒店租赁_合并预算执行分析（2026年08月）</t>
  </si>
  <si>
    <t>租赁户减少，截止至8月空置率29.11%。</t>
  </si>
  <si>
    <t>租赁收入减少，房产税下降。</t>
  </si>
  <si>
    <t>预算估计不足。</t>
  </si>
  <si>
    <t>上海酒店租赁_222200150213预算执行分析（2026年08月）</t>
  </si>
  <si>
    <t>上海酒店租赁_222200150214预算执行分析（2026年08月）</t>
  </si>
  <si>
    <t>上海酒店预算执行分析（2026年08月）</t>
  </si>
  <si>
    <t>餐饮宴会厅收入较同期减少182万元，中餐厅较同期减少87万元，客房收入减少85万元</t>
  </si>
  <si>
    <t>受宴会厅装修改造因素影响，客房收入减少162万元，宴会收入较预算减少441万元，中餐厅较预算减少125万元，经营性租赁减少60万元。</t>
  </si>
  <si>
    <t>确认跨期外包费用约50万，财务部组建增加人工约45万元。</t>
  </si>
  <si>
    <t>宴会厅装修改造LED设备使用减少。</t>
  </si>
  <si>
    <t>应收账款回收速度加快。</t>
  </si>
  <si>
    <t>上海酒店能源预算执行分析（2026年08月）</t>
  </si>
  <si>
    <t>租赁户减少，能源使用下降。</t>
  </si>
  <si>
    <t>商城路配餐TERM预算执行分析（2026年08月）</t>
  </si>
  <si>
    <t>项目已结束</t>
  </si>
  <si>
    <t>商城路物业TERM预算执行分析（2026年08月）</t>
  </si>
  <si>
    <t>管网配餐TERM预算执行分析（2026年08月）</t>
  </si>
  <si>
    <t>国家管网项目4月3日结束，去年同期为整年。</t>
  </si>
  <si>
    <t>国家管网项目4月3日结束，预算为整年。</t>
  </si>
  <si>
    <t>管网物业TERM预算执行分析（2026年08月）</t>
  </si>
  <si>
    <t>外购燃料为代收代付。</t>
  </si>
  <si>
    <t>国家管网项目4月3日结束，去年同期为存在跨期确认问题。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</si>
</sst>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&quot;-&quot;"/>
  </numFmts>
  <fonts count="14" x14ac:knownFonts="1">
    <font>
      <color theme="1"/>
      <family val="2"/>
      <scheme val="minor"/>
      <sz val="11"/>
      <name val="Calibri"/>
    </font>
    <font>
      <b/>
      <charset val="134"/>
      <sz val="16"/>
      <name val="方正仿宋_GBK"/>
    </font>
    <font>
      <b/>
      <charset val="134"/>
      <sz val="12"/>
      <name val="方正仿宋_GBK"/>
    </font>
    <font>
      <charset val="134"/>
      <sz val="11"/>
      <name val="方正仿宋_GBK"/>
    </font>
    <font>
      <u/>
      <charset val="134"/>
      <color rgb="FF0056B3"/>
      <sz val="11"/>
      <name val="方正仿宋_GBK"/>
    </font>
    <font>
      <charset val="134"/>
      <color theme="1"/>
      <sz val="14"/>
      <name val="方正仿宋简体"/>
    </font>
    <font>
      <b/>
      <charset val="134"/>
      <color theme="1"/>
      <sz val="20"/>
      <name val="方正仿宋简体"/>
    </font>
    <font>
      <charset val="134"/>
      <color theme="1"/>
      <scheme val="minor"/>
      <sz val="20"/>
      <name val="宋体"/>
    </font>
    <font>
      <b/>
      <charset val="134"/>
      <color theme="1"/>
      <sz val="14"/>
      <name val="方正仿宋_GBK"/>
    </font>
    <font>
      <b/>
      <charset val="134"/>
      <sz val="14"/>
      <name val="方正仿宋_GBK"/>
    </font>
    <font>
      <charset val="134"/>
      <color theme="1"/>
      <sz val="14"/>
      <name val="方正仿宋_GBK"/>
    </font>
    <font>
      <charset val="134"/>
      <sz val="14"/>
      <name val="方正仿宋_GBK"/>
    </font>
    <font>
      <charset val="134"/>
      <color indexed="8"/>
      <sz val="14"/>
      <name val="方正仿宋_GBK"/>
    </font>
    <font>
      <b/>
      <charset val="134"/>
      <color indexed="8"/>
      <sz val="14"/>
      <name val="方正仿宋_GB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indexed="65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3" fillId="3" borderId="4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zoomScale="100" zoomScaleNormal="100">
      <selection activeCell="A1" sqref="A1"/>
    </sheetView>
  </sheetViews>
  <sheetFormatPr defaultRowHeight="13.5" outlineLevelRow="0" outlineLevelCol="2" x14ac:dyDescent="0" defaultColWidth="9" customHeight="1"/>
  <cols>
    <col min="1" max="1" width="10" customWidth="1"/>
    <col min="2" max="2" width="36" customWidth="1"/>
    <col min="3" max="3" width="20" customWidth="1"/>
  </cols>
  <sheetData>
    <row r="1" ht="32" customHeight="1" spans="1:3" x14ac:dyDescent="0.25">
      <c r="A1" s="1" t="s">
        <v>0</v>
      </c>
      <c r="B1" s="1"/>
      <c r="C1" s="1"/>
    </row>
    <row r="2" ht="26" customHeight="1" spans="1:3" x14ac:dyDescent="0.25">
      <c r="A2" s="2" t="s">
        <v>1</v>
      </c>
      <c r="B2" s="2" t="s">
        <v>2</v>
      </c>
      <c r="C2" s="2" t="s">
        <v>3</v>
      </c>
    </row>
    <row r="3" ht="22" customHeight="1" spans="1:3" x14ac:dyDescent="0.25">
      <c r="A3" s="3"/>
      <c r="B3" s="4" t="s">
        <v>4</v>
      </c>
      <c r="C3" s="5" t="str">
        <f>HYPERLINK("#'合计'!A1","点击跳转 ➔")</f>
        <v>点击跳转 ➔</v>
      </c>
    </row>
    <row r="4" ht="22" customHeight="1" spans="1:3" x14ac:dyDescent="0.25">
      <c r="A4" s="3"/>
      <c r="B4" s="4" t="s">
        <v>5</v>
      </c>
      <c r="C4" s="5" t="str">
        <f>HYPERLINK("#'上海酒店租赁_合并'!A1","点击跳转 ➔")</f>
        <v>点击跳转 ➔</v>
      </c>
    </row>
    <row r="5" ht="22" customHeight="1" spans="1:3" x14ac:dyDescent="0.25">
      <c r="A5" s="3"/>
      <c r="B5" s="4" t="s">
        <v>6</v>
      </c>
      <c r="C5" s="5" t="str">
        <f>HYPERLINK("#'上海酒店租赁_222200150213'!A1","点击跳转 ➔")</f>
        <v>点击跳转 ➔</v>
      </c>
    </row>
    <row r="6" ht="22" customHeight="1" spans="1:3" x14ac:dyDescent="0.25">
      <c r="A6" s="3"/>
      <c r="B6" s="4" t="s">
        <v>7</v>
      </c>
      <c r="C6" s="5" t="str">
        <f>HYPERLINK("#'上海酒店租赁_222200150214'!A1","点击跳转 ➔")</f>
        <v>点击跳转 ➔</v>
      </c>
    </row>
    <row r="7" ht="22" customHeight="1" spans="1:3" x14ac:dyDescent="0.25">
      <c r="A7" s="3"/>
      <c r="B7" s="4" t="s">
        <v>8</v>
      </c>
      <c r="C7" s="5" t="str">
        <f>HYPERLINK("#'上海酒店'!A1","点击跳转 ➔")</f>
        <v>点击跳转 ➔</v>
      </c>
    </row>
    <row r="8" ht="22" customHeight="1" spans="1:3" x14ac:dyDescent="0.25">
      <c r="A8" s="3"/>
      <c r="B8" s="4" t="s">
        <v>9</v>
      </c>
      <c r="C8" s="5" t="str">
        <f>HYPERLINK("#'上海酒店能源'!A1","点击跳转 ➔")</f>
        <v>点击跳转 ➔</v>
      </c>
    </row>
    <row r="9" ht="22" customHeight="1" spans="1:3" x14ac:dyDescent="0.25">
      <c r="A9" s="3"/>
      <c r="B9" s="4" t="s">
        <v>10</v>
      </c>
      <c r="C9" s="5" t="str">
        <f>HYPERLINK("#'商城路配餐TERM'!A1","点击跳转 ➔")</f>
        <v>点击跳转 ➔</v>
      </c>
    </row>
    <row r="10" ht="22" customHeight="1" spans="1:3" x14ac:dyDescent="0.25">
      <c r="A10" s="3"/>
      <c r="B10" s="4" t="s">
        <v>11</v>
      </c>
      <c r="C10" s="5" t="str">
        <f>HYPERLINK("#'商城路物业TERM'!A1","点击跳转 ➔")</f>
        <v>点击跳转 ➔</v>
      </c>
    </row>
    <row r="11" ht="22" customHeight="1" spans="1:3" x14ac:dyDescent="0.25">
      <c r="A11" s="3"/>
      <c r="B11" s="4" t="s">
        <v>12</v>
      </c>
      <c r="C11" s="5" t="str">
        <f>HYPERLINK("#'管网配餐TERM'!A1","点击跳转 ➔")</f>
        <v>点击跳转 ➔</v>
      </c>
    </row>
    <row r="12" ht="22" customHeight="1" spans="1:3" x14ac:dyDescent="0.25">
      <c r="A12" s="3"/>
      <c r="B12" s="4" t="s">
        <v>13</v>
      </c>
      <c r="C12" s="5" t="str">
        <f>HYPERLINK("#'管网物业TERM'!A1","点击跳转 ➔")</f>
        <v>点击跳转 ➔</v>
      </c>
    </row>
  </sheetData>
  <mergeCells count="1">
    <mergeCell ref="A1:C1"/>
  </mergeCells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85" zoomScaleNormal="85">
      <pane xSplit="1" ySplit="2" topLeftCell="B3" activePane="bottomRight" state="frozen"/>
      <selection pane="bottomRight" activeCell="G4" sqref="G4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150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29</v>
      </c>
      <c r="H3" s="11"/>
      <c r="I3" s="12" t="s">
        <v>30</v>
      </c>
      <c r="J3" s="11"/>
      <c r="K3" s="11"/>
      <c r="L3" s="11"/>
      <c r="M3" s="11"/>
      <c r="N3" s="11"/>
    </row>
    <row r="4" ht="37.5" customHeight="1" spans="1:14" x14ac:dyDescent="0.25">
      <c r="A4" s="13" t="s">
        <v>31</v>
      </c>
      <c r="B4" s="11"/>
      <c r="C4" s="11"/>
      <c r="D4" s="11"/>
      <c r="E4" s="11"/>
      <c r="F4" s="11"/>
      <c r="G4" s="12" t="s">
        <v>32</v>
      </c>
      <c r="H4" s="11"/>
      <c r="I4" s="12" t="s">
        <v>32</v>
      </c>
      <c r="J4" s="11"/>
      <c r="K4" s="11"/>
      <c r="L4" s="11"/>
      <c r="M4" s="11"/>
      <c r="N4" s="11"/>
    </row>
    <row r="5" ht="37.5" customHeight="1" spans="1:14" x14ac:dyDescent="0.25">
      <c r="A5" s="13" t="s">
        <v>33</v>
      </c>
      <c r="B5" s="11"/>
      <c r="C5" s="11"/>
      <c r="D5" s="11"/>
      <c r="E5" s="11"/>
      <c r="F5" s="11"/>
      <c r="G5" s="12" t="s">
        <v>32</v>
      </c>
      <c r="H5" s="11"/>
      <c r="I5" s="12" t="s">
        <v>32</v>
      </c>
      <c r="J5" s="11"/>
      <c r="K5" s="11"/>
      <c r="L5" s="11"/>
      <c r="M5" s="11"/>
      <c r="N5" s="11"/>
    </row>
    <row r="6" ht="37.5" customHeight="1" spans="1:14" x14ac:dyDescent="0.25">
      <c r="A6" s="13" t="s">
        <v>34</v>
      </c>
      <c r="B6" s="11"/>
      <c r="C6" s="11"/>
      <c r="D6" s="11"/>
      <c r="E6" s="11"/>
      <c r="F6" s="11"/>
      <c r="G6" s="12" t="s">
        <v>32</v>
      </c>
      <c r="H6" s="11"/>
      <c r="I6" s="12" t="s">
        <v>32</v>
      </c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ht="37.5" customHeight="1" spans="1:14" x14ac:dyDescent="0.25">
      <c r="A13" s="13" t="s">
        <v>41</v>
      </c>
      <c r="B13" s="11"/>
      <c r="C13" s="11"/>
      <c r="D13" s="11"/>
      <c r="E13" s="11"/>
      <c r="F13" s="11"/>
      <c r="G13" s="12" t="s">
        <v>42</v>
      </c>
      <c r="H13" s="11"/>
      <c r="I13" s="12" t="s">
        <v>42</v>
      </c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 t="s">
        <v>47</v>
      </c>
      <c r="H17" s="11"/>
      <c r="I17" s="12" t="s">
        <v>48</v>
      </c>
      <c r="J17" s="11"/>
      <c r="K17" s="11"/>
      <c r="L17" s="11"/>
      <c r="M17" s="11"/>
      <c r="N17" s="11"/>
    </row>
    <row r="18" ht="56.25" customHeight="1" spans="1:14" x14ac:dyDescent="0.25">
      <c r="A18" s="14" t="s">
        <v>49</v>
      </c>
      <c r="B18" s="11"/>
      <c r="C18" s="11"/>
      <c r="D18" s="11"/>
      <c r="E18" s="11"/>
      <c r="F18" s="11"/>
      <c r="G18" s="12" t="s">
        <v>50</v>
      </c>
      <c r="H18" s="11"/>
      <c r="I18" s="12" t="s">
        <v>51</v>
      </c>
      <c r="J18" s="11"/>
      <c r="K18" s="11"/>
      <c r="L18" s="11"/>
      <c r="M18" s="11"/>
      <c r="N18" s="11"/>
    </row>
    <row r="19" ht="150" customHeight="1" spans="1:14" x14ac:dyDescent="0.25">
      <c r="A19" s="14" t="s">
        <v>52</v>
      </c>
      <c r="B19" s="11"/>
      <c r="C19" s="11"/>
      <c r="D19" s="11"/>
      <c r="E19" s="11"/>
      <c r="F19" s="11"/>
      <c r="G19" s="12" t="s">
        <v>53</v>
      </c>
      <c r="H19" s="11"/>
      <c r="I19" s="12" t="s">
        <v>54</v>
      </c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ht="56.25" customHeight="1" spans="1:14" x14ac:dyDescent="0.25">
      <c r="A25" s="14" t="s">
        <v>60</v>
      </c>
      <c r="B25" s="11"/>
      <c r="C25" s="11"/>
      <c r="D25" s="11"/>
      <c r="E25" s="11"/>
      <c r="F25" s="11"/>
      <c r="G25" s="12" t="s">
        <v>61</v>
      </c>
      <c r="H25" s="11"/>
      <c r="I25" s="12" t="s">
        <v>61</v>
      </c>
      <c r="J25" s="11"/>
      <c r="K25" s="11"/>
      <c r="L25" s="11"/>
      <c r="M25" s="11"/>
      <c r="N25" s="11"/>
    </row>
    <row r="26" ht="37.5" customHeight="1" spans="1:14" x14ac:dyDescent="0.25">
      <c r="A26" s="14" t="s">
        <v>62</v>
      </c>
      <c r="B26" s="11"/>
      <c r="C26" s="11"/>
      <c r="D26" s="11"/>
      <c r="E26" s="11"/>
      <c r="F26" s="11"/>
      <c r="G26" s="12" t="s">
        <v>63</v>
      </c>
      <c r="H26" s="11"/>
      <c r="I26" s="12" t="s">
        <v>63</v>
      </c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G9" sqref="G9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37.5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79</v>
      </c>
      <c r="H3" s="11"/>
      <c r="I3" s="12" t="s">
        <v>79</v>
      </c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ht="37.5" customHeight="1" spans="1:14" x14ac:dyDescent="0.25">
      <c r="A24" s="14" t="s">
        <v>59</v>
      </c>
      <c r="B24" s="11"/>
      <c r="C24" s="11"/>
      <c r="D24" s="11"/>
      <c r="E24" s="11"/>
      <c r="F24" s="11"/>
      <c r="G24" s="12" t="s">
        <v>80</v>
      </c>
      <c r="H24" s="11"/>
      <c r="I24" s="12" t="s">
        <v>81</v>
      </c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spans="1:14" x14ac:dyDescent="0.25">
      <c r="A3" s="10" t="s">
        <v>28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spans="1:14" x14ac:dyDescent="0.25">
      <c r="A3" s="10" t="s">
        <v>28</v>
      </c>
      <c r="B3" s="11"/>
      <c r="C3" s="11"/>
      <c r="D3" s="11"/>
      <c r="E3" s="11"/>
      <c r="F3" s="11"/>
      <c r="G3" s="12"/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H18" sqref="H18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131.25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85</v>
      </c>
      <c r="H3" s="11"/>
      <c r="I3" s="12" t="s">
        <v>86</v>
      </c>
      <c r="J3" s="11"/>
      <c r="K3" s="11"/>
      <c r="L3" s="11"/>
      <c r="M3" s="11"/>
      <c r="N3" s="11"/>
    </row>
    <row r="4" ht="37.5" customHeight="1" spans="1:14" x14ac:dyDescent="0.25">
      <c r="A4" s="13" t="s">
        <v>31</v>
      </c>
      <c r="B4" s="11"/>
      <c r="C4" s="11"/>
      <c r="D4" s="11"/>
      <c r="E4" s="11"/>
      <c r="F4" s="11"/>
      <c r="G4" s="12" t="s">
        <v>32</v>
      </c>
      <c r="H4" s="11"/>
      <c r="I4" s="12" t="s">
        <v>32</v>
      </c>
      <c r="J4" s="11"/>
      <c r="K4" s="11"/>
      <c r="L4" s="11"/>
      <c r="M4" s="11"/>
      <c r="N4" s="11"/>
    </row>
    <row r="5" ht="37.5" customHeight="1" spans="1:14" x14ac:dyDescent="0.25">
      <c r="A5" s="13" t="s">
        <v>33</v>
      </c>
      <c r="B5" s="11"/>
      <c r="C5" s="11"/>
      <c r="D5" s="11"/>
      <c r="E5" s="11"/>
      <c r="F5" s="11"/>
      <c r="G5" s="12" t="s">
        <v>32</v>
      </c>
      <c r="H5" s="11"/>
      <c r="I5" s="12" t="s">
        <v>32</v>
      </c>
      <c r="J5" s="11"/>
      <c r="K5" s="11"/>
      <c r="L5" s="11"/>
      <c r="M5" s="11"/>
      <c r="N5" s="11"/>
    </row>
    <row r="6" ht="37.5" customHeight="1" spans="1:14" x14ac:dyDescent="0.25">
      <c r="A6" s="13" t="s">
        <v>34</v>
      </c>
      <c r="B6" s="11"/>
      <c r="C6" s="11"/>
      <c r="D6" s="11"/>
      <c r="E6" s="11"/>
      <c r="F6" s="11"/>
      <c r="G6" s="12" t="s">
        <v>32</v>
      </c>
      <c r="H6" s="11"/>
      <c r="I6" s="12" t="s">
        <v>32</v>
      </c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ht="37.5" customHeight="1" spans="1:14" x14ac:dyDescent="0.25">
      <c r="A13" s="13" t="s">
        <v>41</v>
      </c>
      <c r="B13" s="11"/>
      <c r="C13" s="11"/>
      <c r="D13" s="11"/>
      <c r="E13" s="11"/>
      <c r="F13" s="11"/>
      <c r="G13" s="12" t="s">
        <v>42</v>
      </c>
      <c r="H13" s="11"/>
      <c r="I13" s="12" t="s">
        <v>42</v>
      </c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 t="s">
        <v>47</v>
      </c>
      <c r="H17" s="11"/>
      <c r="I17" s="12" t="s">
        <v>48</v>
      </c>
      <c r="J17" s="11"/>
      <c r="K17" s="11"/>
      <c r="L17" s="11"/>
      <c r="M17" s="11"/>
      <c r="N17" s="11"/>
    </row>
    <row r="18" ht="56.25" customHeight="1" spans="1:14" x14ac:dyDescent="0.25">
      <c r="A18" s="14" t="s">
        <v>49</v>
      </c>
      <c r="B18" s="11"/>
      <c r="C18" s="11"/>
      <c r="D18" s="11"/>
      <c r="E18" s="11"/>
      <c r="F18" s="11"/>
      <c r="G18" s="12" t="s">
        <v>87</v>
      </c>
      <c r="H18" s="11"/>
      <c r="I18" s="12" t="s">
        <v>51</v>
      </c>
      <c r="J18" s="11"/>
      <c r="K18" s="11"/>
      <c r="L18" s="11"/>
      <c r="M18" s="11"/>
      <c r="N18" s="11"/>
    </row>
    <row r="19" ht="150" customHeight="1" spans="1:14" x14ac:dyDescent="0.25">
      <c r="A19" s="14" t="s">
        <v>52</v>
      </c>
      <c r="B19" s="11"/>
      <c r="C19" s="11"/>
      <c r="D19" s="11"/>
      <c r="E19" s="11"/>
      <c r="F19" s="11"/>
      <c r="G19" s="12" t="s">
        <v>53</v>
      </c>
      <c r="H19" s="11"/>
      <c r="I19" s="12" t="s">
        <v>54</v>
      </c>
      <c r="J19" s="11"/>
      <c r="K19" s="11"/>
      <c r="L19" s="11"/>
      <c r="M19" s="11"/>
      <c r="N19" s="11"/>
    </row>
    <row r="20" ht="37.5" customHeight="1" spans="1:14" x14ac:dyDescent="0.25">
      <c r="A20" s="14" t="s">
        <v>55</v>
      </c>
      <c r="B20" s="11"/>
      <c r="C20" s="11"/>
      <c r="D20" s="11"/>
      <c r="E20" s="11"/>
      <c r="F20" s="11"/>
      <c r="G20" s="12" t="s">
        <v>88</v>
      </c>
      <c r="H20" s="11"/>
      <c r="I20" s="12" t="s">
        <v>88</v>
      </c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ht="56.25" customHeight="1" spans="1:14" x14ac:dyDescent="0.25">
      <c r="A25" s="14" t="s">
        <v>60</v>
      </c>
      <c r="B25" s="11"/>
      <c r="C25" s="11"/>
      <c r="D25" s="11"/>
      <c r="E25" s="11"/>
      <c r="F25" s="11"/>
      <c r="G25" s="12" t="s">
        <v>61</v>
      </c>
      <c r="H25" s="11"/>
      <c r="I25" s="12" t="s">
        <v>61</v>
      </c>
      <c r="J25" s="11"/>
      <c r="K25" s="11"/>
      <c r="L25" s="11"/>
      <c r="M25" s="11"/>
      <c r="N25" s="11"/>
    </row>
    <row r="26" ht="37.5" customHeight="1" spans="1:14" x14ac:dyDescent="0.25">
      <c r="A26" s="14" t="s">
        <v>62</v>
      </c>
      <c r="B26" s="11"/>
      <c r="C26" s="11"/>
      <c r="D26" s="11"/>
      <c r="E26" s="11"/>
      <c r="F26" s="11"/>
      <c r="G26" s="12" t="s">
        <v>63</v>
      </c>
      <c r="H26" s="11"/>
      <c r="I26" s="12" t="s">
        <v>63</v>
      </c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ht="37.5" customHeight="1" spans="1:14" x14ac:dyDescent="0.25">
      <c r="A28" s="13" t="s">
        <v>65</v>
      </c>
      <c r="B28" s="11"/>
      <c r="C28" s="11"/>
      <c r="D28" s="11"/>
      <c r="E28" s="11"/>
      <c r="F28" s="11"/>
      <c r="G28" s="12" t="s">
        <v>89</v>
      </c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37.5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91</v>
      </c>
      <c r="H3" s="11"/>
      <c r="I3" s="12" t="s">
        <v>91</v>
      </c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ht="37.5" customHeight="1" spans="1:14" x14ac:dyDescent="0.25">
      <c r="A11" s="13" t="s">
        <v>39</v>
      </c>
      <c r="B11" s="11"/>
      <c r="C11" s="11"/>
      <c r="D11" s="11"/>
      <c r="E11" s="11"/>
      <c r="F11" s="11"/>
      <c r="G11" s="12" t="s">
        <v>91</v>
      </c>
      <c r="H11" s="11"/>
      <c r="I11" s="12" t="s">
        <v>91</v>
      </c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/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spans="1:14" x14ac:dyDescent="0.25">
      <c r="A3" s="10" t="s">
        <v>28</v>
      </c>
      <c r="B3" s="11"/>
      <c r="C3" s="11"/>
      <c r="D3" s="11"/>
      <c r="E3" s="11"/>
      <c r="F3" s="11"/>
      <c r="G3" s="12" t="s">
        <v>93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 t="s">
        <v>93</v>
      </c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 t="s">
        <v>93</v>
      </c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 t="s">
        <v>93</v>
      </c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 t="s">
        <v>93</v>
      </c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 t="s">
        <v>93</v>
      </c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spans="1:14" x14ac:dyDescent="0.25">
      <c r="A3" s="10" t="s">
        <v>28</v>
      </c>
      <c r="B3" s="11"/>
      <c r="C3" s="11"/>
      <c r="D3" s="11"/>
      <c r="E3" s="11"/>
      <c r="F3" s="11"/>
      <c r="G3" s="12" t="s">
        <v>93</v>
      </c>
      <c r="H3" s="11"/>
      <c r="I3" s="12"/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 t="s">
        <v>93</v>
      </c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 t="s">
        <v>93</v>
      </c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 t="s">
        <v>93</v>
      </c>
      <c r="H17" s="11"/>
      <c r="I17" s="12"/>
      <c r="J17" s="11"/>
      <c r="K17" s="11"/>
      <c r="L17" s="11"/>
      <c r="M17" s="11"/>
      <c r="N17" s="11"/>
    </row>
    <row r="18" spans="1:14" x14ac:dyDescent="0.25">
      <c r="A18" s="14" t="s">
        <v>49</v>
      </c>
      <c r="B18" s="11"/>
      <c r="C18" s="11"/>
      <c r="D18" s="11"/>
      <c r="E18" s="11"/>
      <c r="F18" s="11"/>
      <c r="G18" s="12" t="s">
        <v>93</v>
      </c>
      <c r="H18" s="11"/>
      <c r="I18" s="12"/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 t="s">
        <v>93</v>
      </c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 t="s">
        <v>93</v>
      </c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 t="s">
        <v>93</v>
      </c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56.25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96</v>
      </c>
      <c r="H3" s="11"/>
      <c r="I3" s="12" t="s">
        <v>97</v>
      </c>
      <c r="J3" s="11"/>
      <c r="K3" s="11"/>
      <c r="L3" s="11"/>
      <c r="M3" s="11"/>
      <c r="N3" s="11"/>
    </row>
    <row r="4" ht="56.25" customHeight="1" spans="1:14" x14ac:dyDescent="0.25">
      <c r="A4" s="13" t="s">
        <v>31</v>
      </c>
      <c r="B4" s="11"/>
      <c r="C4" s="11"/>
      <c r="D4" s="11"/>
      <c r="E4" s="11"/>
      <c r="F4" s="11"/>
      <c r="G4" s="12" t="s">
        <v>96</v>
      </c>
      <c r="H4" s="11"/>
      <c r="I4" s="12" t="s">
        <v>97</v>
      </c>
      <c r="J4" s="11"/>
      <c r="K4" s="11"/>
      <c r="L4" s="11"/>
      <c r="M4" s="11"/>
      <c r="N4" s="11"/>
    </row>
    <row r="5" ht="56.25" customHeight="1" spans="1:14" x14ac:dyDescent="0.25">
      <c r="A5" s="13" t="s">
        <v>33</v>
      </c>
      <c r="B5" s="11"/>
      <c r="C5" s="11"/>
      <c r="D5" s="11"/>
      <c r="E5" s="11"/>
      <c r="F5" s="11"/>
      <c r="G5" s="12" t="s">
        <v>96</v>
      </c>
      <c r="H5" s="11"/>
      <c r="I5" s="12" t="s">
        <v>97</v>
      </c>
      <c r="J5" s="11"/>
      <c r="K5" s="11"/>
      <c r="L5" s="11"/>
      <c r="M5" s="11"/>
      <c r="N5" s="11"/>
    </row>
    <row r="6" ht="56.25" customHeight="1" spans="1:14" x14ac:dyDescent="0.25">
      <c r="A6" s="13" t="s">
        <v>34</v>
      </c>
      <c r="B6" s="11"/>
      <c r="C6" s="11"/>
      <c r="D6" s="11"/>
      <c r="E6" s="11"/>
      <c r="F6" s="11"/>
      <c r="G6" s="12" t="s">
        <v>96</v>
      </c>
      <c r="H6" s="11"/>
      <c r="I6" s="12" t="s">
        <v>97</v>
      </c>
      <c r="J6" s="11"/>
      <c r="K6" s="11"/>
      <c r="L6" s="11"/>
      <c r="M6" s="11"/>
      <c r="N6" s="11"/>
    </row>
    <row r="7" ht="56.25" customHeight="1" spans="1:14" x14ac:dyDescent="0.25">
      <c r="A7" s="13" t="s">
        <v>35</v>
      </c>
      <c r="B7" s="11"/>
      <c r="C7" s="11"/>
      <c r="D7" s="11"/>
      <c r="E7" s="11"/>
      <c r="F7" s="11"/>
      <c r="G7" s="12" t="s">
        <v>96</v>
      </c>
      <c r="H7" s="11"/>
      <c r="I7" s="12" t="s">
        <v>97</v>
      </c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/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spans="1:14" x14ac:dyDescent="0.25">
      <c r="A17" s="14" t="s">
        <v>46</v>
      </c>
      <c r="B17" s="11"/>
      <c r="C17" s="11"/>
      <c r="D17" s="11"/>
      <c r="E17" s="11"/>
      <c r="F17" s="11"/>
      <c r="G17" s="12"/>
      <c r="H17" s="11"/>
      <c r="I17" s="12"/>
      <c r="J17" s="11"/>
      <c r="K17" s="11"/>
      <c r="L17" s="11"/>
      <c r="M17" s="11"/>
      <c r="N17" s="11"/>
    </row>
    <row r="18" ht="56.25" customHeight="1" spans="1:14" x14ac:dyDescent="0.25">
      <c r="A18" s="14" t="s">
        <v>49</v>
      </c>
      <c r="B18" s="11"/>
      <c r="C18" s="11"/>
      <c r="D18" s="11"/>
      <c r="E18" s="11"/>
      <c r="F18" s="11"/>
      <c r="G18" s="12" t="s">
        <v>96</v>
      </c>
      <c r="H18" s="11"/>
      <c r="I18" s="12" t="s">
        <v>97</v>
      </c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 zoomScale="100" zoomScaleNormal="100">
      <pane xSplit="1" ySplit="2" topLeftCell="B3" activePane="bottomRight" state="frozen"/>
      <selection pane="bottomRight" activeCell="B3" sqref="B3"/>
    </sheetView>
  </sheetViews>
  <sheetFormatPr defaultRowHeight="18.75" outlineLevelRow="0" outlineLevelCol="0" x14ac:dyDescent="0" defaultColWidth="9" customHeight="1"/>
  <cols>
    <col min="1" max="1" width="53" style="6" customWidth="1"/>
    <col min="2" max="6" width="15" customWidth="1"/>
    <col min="7" max="7" width="24.3333333333333" customWidth="1"/>
    <col min="8" max="8" width="15" customWidth="1"/>
    <col min="9" max="9" width="24.3333333333333" customWidth="1"/>
    <col min="10" max="14" width="15" customWidth="1"/>
  </cols>
  <sheetData>
    <row r="1" ht="41" customHeight="1" spans="1:14" x14ac:dyDescent="0.25">
      <c r="A1" s="7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45" customHeight="1" spans="1:14" x14ac:dyDescent="0.25">
      <c r="A2" s="9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21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</row>
    <row r="3" ht="56.25" customHeight="1" spans="1:14" x14ac:dyDescent="0.25">
      <c r="A3" s="10" t="s">
        <v>28</v>
      </c>
      <c r="B3" s="11"/>
      <c r="C3" s="11"/>
      <c r="D3" s="11"/>
      <c r="E3" s="11"/>
      <c r="F3" s="11"/>
      <c r="G3" s="12" t="s">
        <v>96</v>
      </c>
      <c r="H3" s="11"/>
      <c r="I3" s="12" t="s">
        <v>97</v>
      </c>
      <c r="J3" s="11"/>
      <c r="K3" s="11"/>
      <c r="L3" s="11"/>
      <c r="M3" s="11"/>
      <c r="N3" s="11"/>
    </row>
    <row r="4" spans="1:14" x14ac:dyDescent="0.25">
      <c r="A4" s="13" t="s">
        <v>31</v>
      </c>
      <c r="B4" s="11"/>
      <c r="C4" s="11"/>
      <c r="D4" s="11"/>
      <c r="E4" s="11"/>
      <c r="F4" s="11"/>
      <c r="G4" s="12"/>
      <c r="H4" s="11"/>
      <c r="I4" s="12"/>
      <c r="J4" s="11"/>
      <c r="K4" s="11"/>
      <c r="L4" s="11"/>
      <c r="M4" s="11"/>
      <c r="N4" s="11"/>
    </row>
    <row r="5" spans="1:14" x14ac:dyDescent="0.25">
      <c r="A5" s="13" t="s">
        <v>33</v>
      </c>
      <c r="B5" s="11"/>
      <c r="C5" s="11"/>
      <c r="D5" s="11"/>
      <c r="E5" s="11"/>
      <c r="F5" s="11"/>
      <c r="G5" s="12"/>
      <c r="H5" s="11"/>
      <c r="I5" s="12"/>
      <c r="J5" s="11"/>
      <c r="K5" s="11"/>
      <c r="L5" s="11"/>
      <c r="M5" s="11"/>
      <c r="N5" s="11"/>
    </row>
    <row r="6" spans="1:14" x14ac:dyDescent="0.25">
      <c r="A6" s="13" t="s">
        <v>34</v>
      </c>
      <c r="B6" s="11"/>
      <c r="C6" s="11"/>
      <c r="D6" s="11"/>
      <c r="E6" s="11"/>
      <c r="F6" s="11"/>
      <c r="G6" s="12"/>
      <c r="H6" s="11"/>
      <c r="I6" s="12"/>
      <c r="J6" s="11"/>
      <c r="K6" s="11"/>
      <c r="L6" s="11"/>
      <c r="M6" s="11"/>
      <c r="N6" s="11"/>
    </row>
    <row r="7" spans="1:14" x14ac:dyDescent="0.25">
      <c r="A7" s="13" t="s">
        <v>35</v>
      </c>
      <c r="B7" s="11"/>
      <c r="C7" s="11"/>
      <c r="D7" s="11"/>
      <c r="E7" s="11"/>
      <c r="F7" s="11"/>
      <c r="G7" s="12"/>
      <c r="H7" s="11"/>
      <c r="I7" s="12"/>
      <c r="J7" s="11"/>
      <c r="K7" s="11"/>
      <c r="L7" s="11"/>
      <c r="M7" s="11"/>
      <c r="N7" s="11"/>
    </row>
    <row r="8" spans="1:14" x14ac:dyDescent="0.25">
      <c r="A8" s="13" t="s">
        <v>36</v>
      </c>
      <c r="B8" s="11"/>
      <c r="C8" s="11"/>
      <c r="D8" s="11"/>
      <c r="E8" s="11"/>
      <c r="F8" s="11"/>
      <c r="G8" s="12"/>
      <c r="H8" s="11"/>
      <c r="I8" s="12"/>
      <c r="J8" s="11"/>
      <c r="K8" s="11"/>
      <c r="L8" s="11"/>
      <c r="M8" s="11"/>
      <c r="N8" s="11"/>
    </row>
    <row r="9" spans="1:14" x14ac:dyDescent="0.25">
      <c r="A9" s="13" t="s">
        <v>37</v>
      </c>
      <c r="B9" s="11"/>
      <c r="C9" s="11"/>
      <c r="D9" s="11"/>
      <c r="E9" s="11"/>
      <c r="F9" s="11"/>
      <c r="G9" s="12"/>
      <c r="H9" s="11"/>
      <c r="I9" s="12"/>
      <c r="J9" s="11"/>
      <c r="K9" s="11"/>
      <c r="L9" s="11"/>
      <c r="M9" s="11"/>
      <c r="N9" s="11"/>
    </row>
    <row r="10" ht="37.5" customHeight="1" spans="1:14" x14ac:dyDescent="0.25">
      <c r="A10" s="13" t="s">
        <v>38</v>
      </c>
      <c r="B10" s="11"/>
      <c r="C10" s="11"/>
      <c r="D10" s="11"/>
      <c r="E10" s="11"/>
      <c r="F10" s="11"/>
      <c r="G10" s="12"/>
      <c r="H10" s="11"/>
      <c r="I10" s="12" t="s">
        <v>99</v>
      </c>
      <c r="J10" s="11"/>
      <c r="K10" s="11"/>
      <c r="L10" s="11"/>
      <c r="M10" s="11"/>
      <c r="N10" s="11"/>
    </row>
    <row r="11" spans="1:14" x14ac:dyDescent="0.25">
      <c r="A11" s="13" t="s">
        <v>39</v>
      </c>
      <c r="B11" s="11"/>
      <c r="C11" s="11"/>
      <c r="D11" s="11"/>
      <c r="E11" s="11"/>
      <c r="F11" s="11"/>
      <c r="G11" s="12"/>
      <c r="H11" s="11"/>
      <c r="I11" s="12"/>
      <c r="J11" s="11"/>
      <c r="K11" s="11"/>
      <c r="L11" s="11"/>
      <c r="M11" s="11"/>
      <c r="N11" s="11"/>
    </row>
    <row r="12" spans="1:14" x14ac:dyDescent="0.25">
      <c r="A12" s="13" t="s">
        <v>40</v>
      </c>
      <c r="B12" s="11"/>
      <c r="C12" s="11"/>
      <c r="D12" s="11"/>
      <c r="E12" s="11"/>
      <c r="F12" s="11"/>
      <c r="G12" s="12"/>
      <c r="H12" s="11"/>
      <c r="I12" s="12"/>
      <c r="J12" s="11"/>
      <c r="K12" s="11"/>
      <c r="L12" s="11"/>
      <c r="M12" s="11"/>
      <c r="N12" s="11"/>
    </row>
    <row r="13" spans="1:14" x14ac:dyDescent="0.25">
      <c r="A13" s="13" t="s">
        <v>41</v>
      </c>
      <c r="B13" s="11"/>
      <c r="C13" s="11"/>
      <c r="D13" s="11"/>
      <c r="E13" s="11"/>
      <c r="F13" s="11"/>
      <c r="G13" s="12"/>
      <c r="H13" s="11"/>
      <c r="I13" s="12"/>
      <c r="J13" s="11"/>
      <c r="K13" s="11"/>
      <c r="L13" s="11"/>
      <c r="M13" s="11"/>
      <c r="N13" s="11"/>
    </row>
    <row r="14" spans="1:14" x14ac:dyDescent="0.25">
      <c r="A14" s="13" t="s">
        <v>43</v>
      </c>
      <c r="B14" s="11"/>
      <c r="C14" s="11"/>
      <c r="D14" s="11"/>
      <c r="E14" s="11"/>
      <c r="F14" s="11"/>
      <c r="G14" s="12"/>
      <c r="H14" s="11"/>
      <c r="I14" s="12"/>
      <c r="J14" s="11"/>
      <c r="K14" s="11"/>
      <c r="L14" s="11"/>
      <c r="M14" s="11"/>
      <c r="N14" s="11"/>
    </row>
    <row r="15" spans="1:14" x14ac:dyDescent="0.25">
      <c r="A15" s="13" t="s">
        <v>44</v>
      </c>
      <c r="B15" s="11"/>
      <c r="C15" s="11"/>
      <c r="D15" s="11"/>
      <c r="E15" s="11"/>
      <c r="F15" s="11"/>
      <c r="G15" s="12"/>
      <c r="H15" s="11"/>
      <c r="I15" s="12"/>
      <c r="J15" s="11"/>
      <c r="K15" s="11"/>
      <c r="L15" s="11"/>
      <c r="M15" s="11"/>
      <c r="N15" s="11"/>
    </row>
    <row r="16" spans="1:14" x14ac:dyDescent="0.25">
      <c r="A16" s="13" t="s">
        <v>45</v>
      </c>
      <c r="B16" s="11"/>
      <c r="C16" s="11"/>
      <c r="D16" s="11"/>
      <c r="E16" s="11"/>
      <c r="F16" s="11"/>
      <c r="G16" s="12"/>
      <c r="H16" s="11"/>
      <c r="I16" s="12"/>
      <c r="J16" s="11"/>
      <c r="K16" s="11"/>
      <c r="L16" s="11"/>
      <c r="M16" s="11"/>
      <c r="N16" s="11"/>
    </row>
    <row r="17" ht="56.25" customHeight="1" spans="1:14" x14ac:dyDescent="0.25">
      <c r="A17" s="14" t="s">
        <v>46</v>
      </c>
      <c r="B17" s="11"/>
      <c r="C17" s="11"/>
      <c r="D17" s="11"/>
      <c r="E17" s="11"/>
      <c r="F17" s="11"/>
      <c r="G17" s="12" t="s">
        <v>96</v>
      </c>
      <c r="H17" s="11"/>
      <c r="I17" s="12" t="s">
        <v>97</v>
      </c>
      <c r="J17" s="11"/>
      <c r="K17" s="11"/>
      <c r="L17" s="11"/>
      <c r="M17" s="11"/>
      <c r="N17" s="11"/>
    </row>
    <row r="18" ht="56.25" customHeight="1" spans="1:14" x14ac:dyDescent="0.25">
      <c r="A18" s="14" t="s">
        <v>49</v>
      </c>
      <c r="B18" s="11"/>
      <c r="C18" s="11"/>
      <c r="D18" s="11"/>
      <c r="E18" s="11"/>
      <c r="F18" s="11"/>
      <c r="G18" s="12" t="s">
        <v>100</v>
      </c>
      <c r="H18" s="11"/>
      <c r="I18" s="12" t="s">
        <v>97</v>
      </c>
      <c r="J18" s="11"/>
      <c r="K18" s="11"/>
      <c r="L18" s="11"/>
      <c r="M18" s="11"/>
      <c r="N18" s="11"/>
    </row>
    <row r="19" spans="1:14" x14ac:dyDescent="0.25">
      <c r="A19" s="14" t="s">
        <v>52</v>
      </c>
      <c r="B19" s="11"/>
      <c r="C19" s="11"/>
      <c r="D19" s="11"/>
      <c r="E19" s="11"/>
      <c r="F19" s="11"/>
      <c r="G19" s="12"/>
      <c r="H19" s="11"/>
      <c r="I19" s="12"/>
      <c r="J19" s="11"/>
      <c r="K19" s="11"/>
      <c r="L19" s="11"/>
      <c r="M19" s="11"/>
      <c r="N19" s="11"/>
    </row>
    <row r="20" spans="1:14" x14ac:dyDescent="0.25">
      <c r="A20" s="14" t="s">
        <v>55</v>
      </c>
      <c r="B20" s="11"/>
      <c r="C20" s="11"/>
      <c r="D20" s="11"/>
      <c r="E20" s="11"/>
      <c r="F20" s="11"/>
      <c r="G20" s="12"/>
      <c r="H20" s="11"/>
      <c r="I20" s="12"/>
      <c r="J20" s="11"/>
      <c r="K20" s="11"/>
      <c r="L20" s="11"/>
      <c r="M20" s="11"/>
      <c r="N20" s="11"/>
    </row>
    <row r="21" spans="1:14" x14ac:dyDescent="0.25">
      <c r="A21" s="14" t="s">
        <v>56</v>
      </c>
      <c r="B21" s="11"/>
      <c r="C21" s="11"/>
      <c r="D21" s="11"/>
      <c r="E21" s="11"/>
      <c r="F21" s="11"/>
      <c r="G21" s="12"/>
      <c r="H21" s="11"/>
      <c r="I21" s="12"/>
      <c r="J21" s="11"/>
      <c r="K21" s="11"/>
      <c r="L21" s="11"/>
      <c r="M21" s="11"/>
      <c r="N21" s="11"/>
    </row>
    <row r="22" spans="1:14" x14ac:dyDescent="0.25">
      <c r="A22" s="14" t="s">
        <v>57</v>
      </c>
      <c r="B22" s="11"/>
      <c r="C22" s="11"/>
      <c r="D22" s="11"/>
      <c r="E22" s="11"/>
      <c r="F22" s="11"/>
      <c r="G22" s="12"/>
      <c r="H22" s="11"/>
      <c r="I22" s="12"/>
      <c r="J22" s="11"/>
      <c r="K22" s="11"/>
      <c r="L22" s="11"/>
      <c r="M22" s="11"/>
      <c r="N22" s="11"/>
    </row>
    <row r="23" spans="1:14" x14ac:dyDescent="0.25">
      <c r="A23" s="14" t="s">
        <v>58</v>
      </c>
      <c r="B23" s="11"/>
      <c r="C23" s="11"/>
      <c r="D23" s="11"/>
      <c r="E23" s="11"/>
      <c r="F23" s="11"/>
      <c r="G23" s="12"/>
      <c r="H23" s="11"/>
      <c r="I23" s="12"/>
      <c r="J23" s="11"/>
      <c r="K23" s="11"/>
      <c r="L23" s="11"/>
      <c r="M23" s="11"/>
      <c r="N23" s="11"/>
    </row>
    <row r="24" spans="1:14" x14ac:dyDescent="0.25">
      <c r="A24" s="14" t="s">
        <v>59</v>
      </c>
      <c r="B24" s="11"/>
      <c r="C24" s="11"/>
      <c r="D24" s="11"/>
      <c r="E24" s="11"/>
      <c r="F24" s="11"/>
      <c r="G24" s="12"/>
      <c r="H24" s="11"/>
      <c r="I24" s="12"/>
      <c r="J24" s="11"/>
      <c r="K24" s="11"/>
      <c r="L24" s="11"/>
      <c r="M24" s="11"/>
      <c r="N24" s="11"/>
    </row>
    <row r="25" spans="1:14" x14ac:dyDescent="0.25">
      <c r="A25" s="14" t="s">
        <v>60</v>
      </c>
      <c r="B25" s="11"/>
      <c r="C25" s="11"/>
      <c r="D25" s="11"/>
      <c r="E25" s="11"/>
      <c r="F25" s="11"/>
      <c r="G25" s="12"/>
      <c r="H25" s="11"/>
      <c r="I25" s="12"/>
      <c r="J25" s="11"/>
      <c r="K25" s="11"/>
      <c r="L25" s="11"/>
      <c r="M25" s="11"/>
      <c r="N25" s="11"/>
    </row>
    <row r="26" spans="1:14" x14ac:dyDescent="0.25">
      <c r="A26" s="14" t="s">
        <v>62</v>
      </c>
      <c r="B26" s="11"/>
      <c r="C26" s="11"/>
      <c r="D26" s="11"/>
      <c r="E26" s="11"/>
      <c r="F26" s="11"/>
      <c r="G26" s="12"/>
      <c r="H26" s="11"/>
      <c r="I26" s="12"/>
      <c r="J26" s="11"/>
      <c r="K26" s="11"/>
      <c r="L26" s="11"/>
      <c r="M26" s="11"/>
      <c r="N26" s="11"/>
    </row>
    <row r="27" spans="1:14" x14ac:dyDescent="0.25">
      <c r="A27" s="13" t="s">
        <v>64</v>
      </c>
      <c r="B27" s="11"/>
      <c r="C27" s="11"/>
      <c r="D27" s="11"/>
      <c r="E27" s="11"/>
      <c r="F27" s="11"/>
      <c r="G27" s="12"/>
      <c r="H27" s="11"/>
      <c r="I27" s="12"/>
      <c r="J27" s="11"/>
      <c r="K27" s="11"/>
      <c r="L27" s="11"/>
      <c r="M27" s="11"/>
      <c r="N27" s="11"/>
    </row>
    <row r="28" spans="1:14" x14ac:dyDescent="0.25">
      <c r="A28" s="13" t="s">
        <v>65</v>
      </c>
      <c r="B28" s="11"/>
      <c r="C28" s="11"/>
      <c r="D28" s="11"/>
      <c r="E28" s="11"/>
      <c r="F28" s="11"/>
      <c r="G28" s="12"/>
      <c r="H28" s="11"/>
      <c r="I28" s="12"/>
      <c r="J28" s="11"/>
      <c r="K28" s="11"/>
      <c r="L28" s="11"/>
      <c r="M28" s="11"/>
      <c r="N28" s="11"/>
    </row>
    <row r="29" spans="1:14" x14ac:dyDescent="0.25">
      <c r="A29" s="15" t="s">
        <v>66</v>
      </c>
      <c r="B29" s="11"/>
      <c r="C29" s="11"/>
      <c r="D29" s="11"/>
      <c r="E29" s="11"/>
      <c r="F29" s="11"/>
      <c r="G29" s="12"/>
      <c r="H29" s="11"/>
      <c r="I29" s="12"/>
      <c r="J29" s="11"/>
      <c r="K29" s="11"/>
      <c r="L29" s="11"/>
      <c r="M29" s="11"/>
      <c r="N29" s="11"/>
    </row>
    <row r="30" spans="1:14" x14ac:dyDescent="0.25">
      <c r="A30" s="16" t="s">
        <v>67</v>
      </c>
      <c r="B30" s="11"/>
      <c r="C30" s="11"/>
      <c r="D30" s="11"/>
      <c r="E30" s="11"/>
      <c r="F30" s="11"/>
      <c r="G30" s="12"/>
      <c r="H30" s="11"/>
      <c r="I30" s="12"/>
      <c r="J30" s="11"/>
      <c r="K30" s="11"/>
      <c r="L30" s="11"/>
      <c r="M30" s="11"/>
      <c r="N30" s="11"/>
    </row>
    <row r="31" ht="18" customHeight="1" spans="1:14" x14ac:dyDescent="0.25">
      <c r="A31" s="17" t="s">
        <v>68</v>
      </c>
      <c r="B31" s="11"/>
      <c r="C31" s="11"/>
      <c r="D31" s="11"/>
      <c r="E31" s="11"/>
      <c r="F31" s="11"/>
      <c r="G31" s="12"/>
      <c r="H31" s="11"/>
      <c r="I31" s="12"/>
      <c r="J31" s="11"/>
      <c r="K31" s="11"/>
      <c r="L31" s="11"/>
      <c r="M31" s="11"/>
      <c r="N31" s="11"/>
    </row>
    <row r="32" spans="1:14" x14ac:dyDescent="0.25">
      <c r="A32" s="18" t="s">
        <v>69</v>
      </c>
      <c r="B32" s="11"/>
      <c r="C32" s="11"/>
      <c r="D32" s="11"/>
      <c r="E32" s="11"/>
      <c r="F32" s="11"/>
      <c r="G32" s="12"/>
      <c r="H32" s="11"/>
      <c r="I32" s="12"/>
      <c r="J32" s="11"/>
      <c r="K32" s="11"/>
      <c r="L32" s="11"/>
      <c r="M32" s="11"/>
      <c r="N32" s="11"/>
    </row>
    <row r="33" spans="1:14" x14ac:dyDescent="0.25">
      <c r="A33" s="19" t="s">
        <v>70</v>
      </c>
      <c r="B33" s="11"/>
      <c r="C33" s="11"/>
      <c r="D33" s="11"/>
      <c r="E33" s="11"/>
      <c r="F33" s="11"/>
      <c r="G33" s="12"/>
      <c r="H33" s="11"/>
      <c r="I33" s="12"/>
      <c r="J33" s="11"/>
      <c r="K33" s="11"/>
      <c r="L33" s="11"/>
      <c r="M33" s="11"/>
      <c r="N33" s="11"/>
    </row>
    <row r="34" spans="1:14" x14ac:dyDescent="0.25">
      <c r="A34" s="18" t="s">
        <v>71</v>
      </c>
      <c r="B34" s="11"/>
      <c r="C34" s="11"/>
      <c r="D34" s="11"/>
      <c r="E34" s="11"/>
      <c r="F34" s="11"/>
      <c r="G34" s="12"/>
      <c r="H34" s="11"/>
      <c r="I34" s="12"/>
      <c r="J34" s="11"/>
      <c r="K34" s="11"/>
      <c r="L34" s="11"/>
      <c r="M34" s="11"/>
      <c r="N34" s="11"/>
    </row>
    <row r="35" spans="1:14" x14ac:dyDescent="0.25">
      <c r="A35" s="19" t="s">
        <v>72</v>
      </c>
      <c r="B35" s="11"/>
      <c r="C35" s="11"/>
      <c r="D35" s="11"/>
      <c r="E35" s="11"/>
      <c r="F35" s="11"/>
      <c r="G35" s="12"/>
      <c r="H35" s="11"/>
      <c r="I35" s="12"/>
      <c r="J35" s="11"/>
      <c r="K35" s="11"/>
      <c r="L35" s="11"/>
      <c r="M35" s="11"/>
      <c r="N35" s="11"/>
    </row>
    <row r="36" spans="1:14" x14ac:dyDescent="0.25">
      <c r="A36" s="19" t="s">
        <v>73</v>
      </c>
      <c r="B36" s="11"/>
      <c r="C36" s="11"/>
      <c r="D36" s="11"/>
      <c r="E36" s="11"/>
      <c r="F36" s="11"/>
      <c r="G36" s="12"/>
      <c r="H36" s="11"/>
      <c r="I36" s="12"/>
      <c r="J36" s="11"/>
      <c r="K36" s="11"/>
      <c r="L36" s="11"/>
      <c r="M36" s="11"/>
      <c r="N36" s="11"/>
    </row>
    <row r="37" spans="1:14" x14ac:dyDescent="0.25">
      <c r="A37" s="19" t="s">
        <v>74</v>
      </c>
      <c r="B37" s="11"/>
      <c r="C37" s="11"/>
      <c r="D37" s="11"/>
      <c r="E37" s="11"/>
      <c r="F37" s="11"/>
      <c r="G37" s="12"/>
      <c r="H37" s="11"/>
      <c r="I37" s="12"/>
      <c r="J37" s="11"/>
      <c r="K37" s="11"/>
      <c r="L37" s="11"/>
      <c r="M37" s="11"/>
      <c r="N37" s="11"/>
    </row>
    <row r="38" spans="1:14" x14ac:dyDescent="0.25">
      <c r="A38" s="20" t="s">
        <v>75</v>
      </c>
      <c r="B38" s="11"/>
      <c r="C38" s="11"/>
      <c r="D38" s="11"/>
      <c r="E38" s="11"/>
      <c r="F38" s="11"/>
      <c r="G38" s="12"/>
      <c r="H38" s="11"/>
      <c r="I38" s="12"/>
      <c r="J38" s="11"/>
      <c r="K38" s="11"/>
      <c r="L38" s="11"/>
      <c r="M38" s="11"/>
      <c r="N38" s="11"/>
    </row>
    <row r="39" spans="1:14" x14ac:dyDescent="0.25">
      <c r="A39" s="21" t="s">
        <v>76</v>
      </c>
      <c r="B39" s="11"/>
      <c r="C39" s="11"/>
      <c r="D39" s="11"/>
      <c r="E39" s="11"/>
      <c r="F39" s="11"/>
      <c r="G39" s="12"/>
      <c r="H39" s="11"/>
      <c r="I39" s="12"/>
      <c r="J39" s="11"/>
      <c r="K39" s="11"/>
      <c r="L39" s="11"/>
      <c r="M39" s="11"/>
      <c r="N39" s="11"/>
    </row>
    <row r="40" spans="1:14" x14ac:dyDescent="0.25">
      <c r="A40" s="22" t="s">
        <v>77</v>
      </c>
      <c r="B40" s="11"/>
      <c r="C40" s="11"/>
      <c r="D40" s="11"/>
      <c r="E40" s="11"/>
      <c r="F40" s="11"/>
      <c r="G40" s="12"/>
      <c r="H40" s="11"/>
      <c r="I40" s="12"/>
      <c r="J40" s="11"/>
      <c r="K40" s="11"/>
      <c r="L40" s="11"/>
      <c r="M40" s="11"/>
      <c r="N40" s="11"/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目录</vt:lpstr>
      <vt:lpstr>合计</vt:lpstr>
      <vt:lpstr>上海酒店租赁_合并</vt:lpstr>
      <vt:lpstr>上海酒店租赁_222200150213</vt:lpstr>
      <vt:lpstr>上海酒店租赁_222200150214</vt:lpstr>
      <vt:lpstr>上海酒店</vt:lpstr>
      <vt:lpstr>上海酒店能源</vt:lpstr>
      <vt:lpstr>商城路配餐TERM</vt:lpstr>
      <vt:lpstr>商城路物业TERM</vt:lpstr>
      <vt:lpstr>管网配餐TERM</vt:lpstr>
      <vt:lpstr>管网物业TERM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高文博</dc:creator>
  <cp:lastModifiedBy>高文博</cp:lastModifiedBy>
  <dcterms:created xsi:type="dcterms:W3CDTF">2026-07-20T08:17:00Z</dcterms:created>
  <dcterms:modified xsi:type="dcterms:W3CDTF">2026-09-15T00:25:29Z</dcterms:modified>
</cp:coreProperties>
</file>