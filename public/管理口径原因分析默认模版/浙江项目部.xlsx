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13_ncr:1_{C89C9202-7784-B340-B34E-EC94B8036604}" xr6:coauthVersionLast="47" xr6:coauthVersionMax="47" xr10:uidLastSave="{00000000-0000-0000-0000-000000000000}"/>
  <bookViews>
    <workbookView xWindow="0" yWindow="660" windowWidth="23400" windowHeight="12180" firstSheet="15" activeTab="17" xr2:uid="{00000000-000D-0000-FFFF-FFFF00000000}"/>
  </bookViews>
  <sheets>
    <sheet name="目录" sheetId="2" r:id="rId1"/>
    <sheet name="合计" sheetId="3" r:id="rId2"/>
    <sheet name="浙江销售分公司配餐业务" sheetId="4" r:id="rId3"/>
    <sheet name="浙江杭州销售分公司劳务输出_合并" sheetId="5" r:id="rId4"/>
    <sheet name="浙江杭州销售分公司劳务输出_222200150526" sheetId="6" r:id="rId5"/>
    <sheet name="浙江杭州销售分公司劳务输出_SH3B25Z076" sheetId="7" r:id="rId6"/>
    <sheet name="东北销售浙江宁波分公司配餐业务_合并" sheetId="8" r:id="rId7"/>
    <sheet name="东北销售浙江宁波分公司配餐业务_222200150527" sheetId="9" r:id="rId8"/>
    <sheet name="东北销售浙江宁波分公司配餐业务_SH3B26Z005" sheetId="10" r:id="rId9"/>
    <sheet name="东北销售浙江宁波分公司办公物业_合并" sheetId="11" r:id="rId10"/>
    <sheet name="东北销售浙江宁波分公司办公物业_222200150530" sheetId="12" r:id="rId11"/>
    <sheet name="东北销售浙江宁波分公司办公物业_SH3B26Z006" sheetId="13" r:id="rId12"/>
    <sheet name="浙江杭州地质研究院办公物业项目" sheetId="14" r:id="rId13"/>
    <sheet name="中石化天然气分公司浙江销售配餐项目_合并" sheetId="15" r:id="rId14"/>
    <sheet name="中石化天然气分公司浙江销售配餐项目_222200150535" sheetId="16" r:id="rId15"/>
    <sheet name="中石化天然气分公司浙江销售配餐项目_SH3B26Z002" sheetId="17" r:id="rId16"/>
    <sheet name="浙江杭州地质研究院配餐项目" sheetId="18" r:id="rId17"/>
    <sheet name="浙江绍兴销售分公司配餐劳务输出项目_合并" sheetId="19" r:id="rId18"/>
    <sheet name="浙江金华销售分公司配餐劳务输出项目_合并" sheetId="20" r:id="rId19"/>
    <sheet name="浙江金华销售分公司配餐劳务输出项目_222200150541" sheetId="21" r:id="rId20"/>
    <sheet name="浙江金华销售分公司配餐劳务输出项目_SH3B26Z004" sheetId="22" r:id="rId21"/>
    <sheet name="浙江湖州销售分公司配餐业务_合并" sheetId="23" r:id="rId22"/>
    <sheet name="浙江湖州销售分公司配餐业务_222200150542" sheetId="24" r:id="rId23"/>
    <sheet name="浙江湖州销售分公司配餐业务_SH3B26Z001" sheetId="25" r:id="rId24"/>
    <sheet name="黄山阳光酒店分公司" sheetId="26" r:id="rId25"/>
    <sheet name="黄山项目部销售项目" sheetId="27" r:id="rId26"/>
    <sheet name="东北销售宁波分计量项目" sheetId="28" r:id="rId27"/>
    <sheet name="浙江衢州销售分公司配餐劳务项目" sheetId="29" r:id="rId28"/>
    <sheet name="Sheet1" sheetId="30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2" l="1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</calcChain>
</file>

<file path=xl/sharedStrings.xml><?xml version="1.0" encoding="utf-8"?>
<sst xmlns="http://schemas.openxmlformats.org/spreadsheetml/2006/main" count="1747" uniqueCount="190">
  <si>
    <t>工作表目录</t>
  </si>
  <si>
    <t>序号</t>
  </si>
  <si>
    <t>工作表名称</t>
  </si>
  <si>
    <t>快捷跳转</t>
  </si>
  <si>
    <t>合计</t>
  </si>
  <si>
    <t>浙江销售分公司配餐业务</t>
  </si>
  <si>
    <t>浙江杭州销售分公司劳务输出_合并</t>
  </si>
  <si>
    <t>浙江杭州销售分公司劳务输出_222200150526</t>
  </si>
  <si>
    <t>浙江杭州销售分公司劳务输出_SH3B25Z076</t>
  </si>
  <si>
    <t>东北销售浙江宁波分公司配餐业务_合并</t>
  </si>
  <si>
    <t>东北销售浙江宁波分公司配餐业务_222200150527</t>
  </si>
  <si>
    <t>东北销售浙江宁波分公司配餐业务_SH3B26Z005</t>
  </si>
  <si>
    <t>东北销售浙江宁波分公司办公物业_合并</t>
  </si>
  <si>
    <t>东北销售浙江宁波分公司办公物业_222200150530</t>
  </si>
  <si>
    <t>东北销售浙江宁波分公司办公物业_SH3B26Z006</t>
  </si>
  <si>
    <t>浙江杭州地质研究院办公物业项目</t>
  </si>
  <si>
    <t>中石化天然气分公司浙江销售配餐项目_合并</t>
  </si>
  <si>
    <t>中石化天然气分公司浙江销售配餐项目_222200150535</t>
  </si>
  <si>
    <t>中石化天然气分公司浙江销售配餐项目_SH3B26Z002</t>
  </si>
  <si>
    <t>浙江杭州地质研究院配餐项目</t>
  </si>
  <si>
    <t>浙江绍兴销售分公司配餐劳务输出项目</t>
  </si>
  <si>
    <t>浙江金华销售分公司配餐劳务输出项目_合并</t>
  </si>
  <si>
    <t>浙江金华销售分公司配餐劳务输出项目_222200150541</t>
  </si>
  <si>
    <t>浙江金华销售分公司配餐劳务输出项目_SH3B26Z004</t>
  </si>
  <si>
    <t>浙江湖州销售分公司配餐业务_合并</t>
  </si>
  <si>
    <t>浙江湖州销售分公司配餐业务_222200150542</t>
  </si>
  <si>
    <t>浙江湖州销售分公司配餐业务_SH3B26Z001</t>
  </si>
  <si>
    <t>黄山阳光酒店分公司</t>
  </si>
  <si>
    <t>黄山项目部销售项目</t>
  </si>
  <si>
    <t>东北销售宁波分计量项目</t>
  </si>
  <si>
    <t>浙江衢州销售分公司配餐劳务项目</t>
  </si>
  <si>
    <t>合计预算执行分析（2026年06月）</t>
  </si>
  <si>
    <t>项目</t>
  </si>
  <si>
    <t>本年累计</t>
  </si>
  <si>
    <t>去年同期</t>
  </si>
  <si>
    <t>进度预算</t>
  </si>
  <si>
    <t>全年预算</t>
  </si>
  <si>
    <t>同比
增减额</t>
  </si>
  <si>
    <t>变动原因</t>
  </si>
  <si>
    <t>较进度预算增减额</t>
  </si>
  <si>
    <t>当月
发生额</t>
  </si>
  <si>
    <t>上月
发生额</t>
  </si>
  <si>
    <t>当月预算</t>
  </si>
  <si>
    <t>环比
增减额</t>
  </si>
  <si>
    <t>较当月预算增减额</t>
  </si>
  <si>
    <t>一、 营业收入</t>
  </si>
  <si>
    <t>本年黄山租赁项目免三个月租金去年免两个月租赁，另新增衢州项目收入</t>
  </si>
  <si>
    <t xml:space="preserve">     减:（一）经营性采购支出</t>
  </si>
  <si>
    <t>浙江销售桌餐增加，员工加班费增加及食材成本增加福利套餐，成本费用相对增加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</si>
  <si>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</si>
  <si>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</si>
  <si>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</si>
  <si>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>正常核算</t>
  </si>
  <si>
    <t xml:space="preserve">                      （3）油气管材</t>
  </si>
  <si>
    <t xml:space="preserve">                      （4）其他材料</t>
  </si>
  <si>
    <t>黄山销售预算初期将预算放入此科目，故调整后正常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</si>
  <si>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</si>
  <si>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</si>
  <si>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</si>
  <si>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</si>
  <si>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</si>
  <si>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</si>
  <si>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>正常税费计提</t>
  </si>
  <si>
    <t xml:space="preserve">        （四）油气分成支出</t>
  </si>
  <si>
    <t xml:space="preserve">        （五）用工薪酬成本</t>
  </si>
  <si>
    <t>换外包劳务支出</t>
  </si>
  <si>
    <t xml:space="preserve">        （六）外包劳务支出</t>
  </si>
  <si>
    <t>本年度使用此项支出成本</t>
  </si>
  <si>
    <t xml:space="preserve">        （七）维修费</t>
  </si>
  <si>
    <t>浙光销售上报甲方维修才会产生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</si>
  <si>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</si>
  <si>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</si>
  <si>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</si>
  <si>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</si>
  <si>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</si>
  <si>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>去年同期免两个月租赁，一个月从价计征，本年免三个月租赁，三个月从价计征房产税故有所增加</t>
  </si>
  <si>
    <t xml:space="preserve">        （十三）折旧折耗及摊销</t>
  </si>
  <si>
    <t>正常计提折旧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</si>
  <si>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</si>
  <si>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</si>
  <si>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</si>
  <si>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</si>
  <si>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</si>
  <si>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sz val="14"/>
        <color indexed="8"/>
        <rFont val="方正仿宋_GBK"/>
        <charset val="134"/>
      </rPr>
      <t xml:space="preserve">                      其中：</t>
    </r>
    <r>
      <rPr>
        <sz val="14"/>
        <color indexed="8"/>
        <rFont val="方正仿宋_GBK"/>
        <charset val="134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</si>
  <si>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</si>
  <si>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</si>
  <si>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</si>
  <si>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>去年同期物品过期报损今年无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</si>
  <si>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</si>
  <si>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</si>
  <si>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</si>
  <si>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</si>
  <si>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浙江项目部项目1-6月收入小计852.54万元，完成年度预算的1695.6万的50.28%,净利润1-6月小计124.51万元，完成年度预算的177万元的70.35%。</t>
  </si>
  <si>
    <t>三、所得税费用</t>
  </si>
  <si>
    <t>四、净利润</t>
  </si>
  <si>
    <t>浙江销售分公司配餐业务预算执行分析（2026年06月）</t>
  </si>
  <si>
    <t>此项目为季度结算，二季度收入为预估收入</t>
  </si>
  <si>
    <t>桌餐增加，员工加班费增加及食材成本增加福利套餐，成本费用相对增加</t>
  </si>
  <si>
    <t>2月份及5月份发放业主方团购福利套餐，食材成本费用相对增加。</t>
  </si>
  <si>
    <t>此项目为季度结算，二季度收入为预估收入，与实际结算有出入。</t>
  </si>
  <si>
    <t>上报甲方维修才会产生</t>
  </si>
  <si>
    <t>清洗油烟机费用已完成两季度</t>
  </si>
  <si>
    <t>去年同期有今年无</t>
  </si>
  <si>
    <t>今年有去年同期无</t>
  </si>
  <si>
    <t>1-6月销售收入比同期有增长，成本相应有增加，利润有所增加，主要原因1、2月份及5月份发放甲方团购福利套餐，食材成本费用相对增加。2.春节前应甲方要求开展美食节，用餐人数增加，造成食材成本费用增加。3.后续严格管控食材成本，降本增效，提升对标利润率。此项目为季度结算，二季度收入为预估收入，与实际结算有出入。</t>
  </si>
  <si>
    <t>浙江杭州销售分公司劳务输出_合并预算执行分析（2026年06月）</t>
  </si>
  <si>
    <t>此项目为季度结算，二季度收入为预估收入，比去年同期有所增加</t>
  </si>
  <si>
    <t>本年度该项改为外包劳务支出</t>
  </si>
  <si>
    <t>本年度该项支出</t>
  </si>
  <si>
    <t>1-6月收入较同期有所增加，成本有所减少。利润有所增加，主要原因是收入增加</t>
  </si>
  <si>
    <t>浙江杭州销售分公司劳务输出_222200150526预算执行分析（2026年06月）</t>
  </si>
  <si>
    <t xml:space="preserve"> </t>
  </si>
  <si>
    <t>东北销售浙江宁波分公司配餐业务_合并预算执行分析（2026年06月）</t>
  </si>
  <si>
    <t>用餐人数增加收入有所增加，食材费用随之增加，与该项目据实结算。</t>
  </si>
  <si>
    <t>用餐人数增加，食材费用随之增加</t>
  </si>
  <si>
    <t>该项目1-6月收入比去年同期有所增加，同时成本却比去年同期期有所增加，故利润有所增加，正常核算</t>
  </si>
  <si>
    <t>东北销售浙江宁波分公司配餐业务_222200150527预算执行分析（2026年06月）</t>
  </si>
  <si>
    <t>东北销售浙江宁波分公司配餐业务_SH3B26Z005预算执行分析（2026年06月）</t>
  </si>
  <si>
    <t>东北销售浙江宁波分公司办公物业_合并预算执行分析（2026年06月）</t>
  </si>
  <si>
    <t>物业费增加，故收入有所增加</t>
  </si>
  <si>
    <t>转入外包劳务支出</t>
  </si>
  <si>
    <t>员工全年上班，产生节假日加班费</t>
  </si>
  <si>
    <t>该项目1-6月收入，成本，利润有小幅增长。</t>
  </si>
  <si>
    <t>东北销售浙江宁波分公司办公物业_222200150530预算执行分析（2026年06月）</t>
  </si>
  <si>
    <t>东北销售浙江宁波分公司办公物业_SH3B26Z006预算执行分析（2026年06月）</t>
  </si>
  <si>
    <t>已达标，继续保持</t>
  </si>
  <si>
    <t>浙江杭州地质研究院办公物业项目预算执行分析（2026年06月）</t>
  </si>
  <si>
    <t>物业费增加以及延展服务增加，且收入增加</t>
  </si>
  <si>
    <t>人员增加</t>
  </si>
  <si>
    <t>去年同期无</t>
  </si>
  <si>
    <t>甲方延展服务</t>
  </si>
  <si>
    <t>去年同期有，今年无</t>
  </si>
  <si>
    <t>该项目部1-6月收入较去年同期大幅增加，利润也相应大幅增加主要原因为，今年1-6月的人工成本较去年小幅增长，但收入相应增加了许多。故利润有大幅增加。</t>
  </si>
  <si>
    <t>中石化天然气分公司浙江销售配餐项目_合并预算执行分析（2026年06月）</t>
  </si>
  <si>
    <t>与上期基本平行，收入有小幅减少，目前运行稳定</t>
  </si>
  <si>
    <t>去年有零星食材采购今年无</t>
  </si>
  <si>
    <t>去年有零星费用发生，今年无</t>
  </si>
  <si>
    <t>去年有无零星费用发生，今年零星费用发生</t>
  </si>
  <si>
    <t>该项目1-6月利润上升的原因，主要是今年1-6月，人工成本有所减少</t>
  </si>
  <si>
    <t>中石化天然气分公司浙江销售配餐项目_222200150535预算执行分析（2026年06月）</t>
  </si>
  <si>
    <t>中石化天然气分公司浙江销售配餐项目_SH3B26Z002预算执行分析（2026年06月）</t>
  </si>
  <si>
    <t>浙江杭州地质研究院配餐项目预算执行分析（2026年06月）</t>
  </si>
  <si>
    <t>主要原因是收支结算周期不同导致，又因该项目是薪酬制，业主方力求服务好员工，故而压缩餐饮合同利润空间，所有损失在物业合同弥补。截止6月份末，餐卡余额同比增加，也影响本期利润。</t>
  </si>
  <si>
    <t>业主方力求服务好员工，故而压缩餐饮合同利润空间，所有损失在物业合同弥补。</t>
  </si>
  <si>
    <t>基本正常</t>
  </si>
  <si>
    <t>去年有部分人工在配餐今年转至物业</t>
  </si>
  <si>
    <t>浙江绍兴销售分公司配餐劳务输出项目预算执行分析（2026年06月）</t>
  </si>
  <si>
    <t>与上期基本平行，收入有小幅增加，运行稳定</t>
  </si>
  <si>
    <t>该项目1-6月收入、成本、利润与去年同期有小幅增加，已达标，继续保持</t>
  </si>
  <si>
    <t>浙江金华销售分公司配餐劳务输出项目_合并预算执行分析（2026年06月）</t>
  </si>
  <si>
    <t>完成进度预算，加班费收入增加</t>
  </si>
  <si>
    <t>正常税款计提</t>
  </si>
  <si>
    <t>该项目1-6月收入、成本、利润与去年同期收入有所增加，主要是人工成本有所增加</t>
  </si>
  <si>
    <t>浙江金华销售分公司配餐劳务输出项目_222200150541预算执行分析（2026年06月）</t>
  </si>
  <si>
    <t>浙江金华销售分公司配餐劳务输出项目_SH3B26Z004预算执行分析（2026年06月）</t>
  </si>
  <si>
    <t>浙江湖州销售分公司配餐业务_合并预算执行分析（2026年06月）</t>
  </si>
  <si>
    <t>完成进度预算</t>
  </si>
  <si>
    <t>去年有其他食材成本，今年无。</t>
  </si>
  <si>
    <t>1--6月销售收入小幅增长，成本基本持平，导致利润也相应有所增加，其原因为：浙江湖州销售分公司配餐业务0031停掉后只经营劳务业务，故减少。</t>
  </si>
  <si>
    <t>浙江湖州销售分公司配餐业务_222200150542预算执行分析（2026年06月）</t>
  </si>
  <si>
    <t>浙江湖州销售分公司配餐业务_SH3B26Z001预算执行分析（2026年06月）</t>
  </si>
  <si>
    <t>黄山阳光酒店分公司预算执行分析（2026年06月）</t>
  </si>
  <si>
    <t>今年免租期较同期增加1个月，收入减少。</t>
  </si>
  <si>
    <t>上半年严控成本支出</t>
  </si>
  <si>
    <t>上半年严控成本支出车辆燃油费等实际发生较预算减少。</t>
  </si>
  <si>
    <t>较去年同期减少一个月租金</t>
  </si>
  <si>
    <t>较去年同期相关人员下沉到项目部人工成本增加</t>
  </si>
  <si>
    <t>上半年严控人工成本，社保等年初有所减少</t>
  </si>
  <si>
    <t>上半年严控成本支出维修费暂未发生</t>
  </si>
  <si>
    <t>新项目增加，差旅费用有所增加</t>
  </si>
  <si>
    <t>新项目增加，差旅费用有所增加，较预算有所减少</t>
  </si>
  <si>
    <t>房产税按从价方式计征较去年多1个月，增加成本约13万；</t>
  </si>
  <si>
    <t>2025年末增加两台电脑，2026年折旧额增加</t>
  </si>
  <si>
    <t>2026年配餐及物业项目增加，应收账款增加，故信用减值损失计提额增加</t>
  </si>
  <si>
    <t>去年有物品过期报损，今年无</t>
  </si>
  <si>
    <t>利润减少原因：收入方面今年免租期较同期增加1个月，收入减少。成本方面1.房产税按从价方式计征较去年多1个月，增加成本约13万；2.相关人员下沉人工成本增加。</t>
  </si>
  <si>
    <t>黄山项目部销售项目预算执行分析（2026年06月）</t>
  </si>
  <si>
    <t>去年同期产品销售较少</t>
  </si>
  <si>
    <t>预算之初放到其他材料里，需要与其他材料预算汇总来分析，目前正常</t>
  </si>
  <si>
    <t>产品销售业务增加，收入同步增长。</t>
  </si>
  <si>
    <t>预算之初放到其他材料里，需要与食材耗用预算汇总来分析，目前正常</t>
  </si>
  <si>
    <t>销售提成款</t>
  </si>
  <si>
    <t>产品销售业务增加，收入和利润同步增长。</t>
  </si>
  <si>
    <t>东北销售宁波分计量项目预算执行分析（2026年06月）</t>
  </si>
  <si>
    <t>已完成</t>
  </si>
  <si>
    <t>目前此项目已终止</t>
  </si>
  <si>
    <t>分析：该项目1-6月收入、成本、利润因去年同期只入了成本，收入未计提，无法比较。就数据来看核算正常</t>
  </si>
  <si>
    <t>浙江衢州销售分公司配餐劳务项目预算执行分析（2026年06月）</t>
  </si>
  <si>
    <t>该项目4月起启动，运行相对稳定</t>
  </si>
  <si>
    <t>因新项目无同期比较，目前利润正常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</si>
</sst>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;&quot;-&quot;"/>
  </numFmts>
  <fonts count="17">
    <font>
      <sz val="11"/>
      <color theme="1"/>
      <name val="Calibri"/>
      <family val="2"/>
      <scheme val="minor"/>
    </font>
    <font>
      <b/>
      <sz val="16"/>
      <name val="方正仿宋_GBK"/>
      <charset val="134"/>
    </font>
    <font>
      <b/>
      <sz val="12"/>
      <name val="方正仿宋_GBK"/>
      <charset val="134"/>
    </font>
    <font>
      <sz val="11"/>
      <name val="方正仿宋_GBK"/>
      <charset val="134"/>
    </font>
    <font>
      <u/>
      <sz val="11"/>
      <color rgb="FF0056B3"/>
      <name val="方正仿宋_GBK"/>
      <charset val="134"/>
    </font>
    <font>
      <sz val="14"/>
      <color theme="1"/>
      <name val="方正仿宋简体"/>
      <charset val="134"/>
    </font>
    <font>
      <b/>
      <sz val="20"/>
      <color theme="1"/>
      <name val="方正仿宋简体"/>
      <charset val="134"/>
    </font>
    <font>
      <sz val="20"/>
      <color theme="1"/>
      <name val="Calibri"/>
      <charset val="134"/>
      <scheme val="minor"/>
    </font>
    <font>
      <b/>
      <sz val="14"/>
      <color theme="1"/>
      <name val="方正仿宋_GBK"/>
      <charset val="134"/>
    </font>
    <font>
      <b/>
      <sz val="14"/>
      <name val="方正仿宋_GBK"/>
      <charset val="134"/>
    </font>
    <font>
      <sz val="14"/>
      <color theme="1"/>
      <name val="方正仿宋_GBK"/>
      <charset val="134"/>
    </font>
    <font>
      <sz val="14"/>
      <name val="方正仿宋_GBK"/>
      <charset val="134"/>
    </font>
    <font>
      <sz val="14"/>
      <color indexed="8"/>
      <name val="方正仿宋_GBK"/>
      <charset val="134"/>
    </font>
    <font>
      <b/>
      <sz val="14"/>
      <color indexed="8"/>
      <name val="方正仿宋_GBK"/>
      <charset val="134"/>
    </font>
    <font>
      <sz val="10"/>
      <color theme="1"/>
      <name val="方正仿宋_GBK"/>
      <charset val="134"/>
    </font>
    <font>
      <sz val="12"/>
      <color theme="1"/>
      <name val="方正仿宋_GBK"/>
      <charset val="134"/>
    </font>
    <font>
      <sz val="9"/>
      <color theme="1"/>
      <name val="方正仿宋_GBK"/>
      <charset val="134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164" fontId="14" fillId="0" borderId="1" xfId="0" applyNumberFormat="1" applyFont="1" applyBorder="1" applyAlignment="1">
      <alignment vertical="center" wrapText="1"/>
    </xf>
    <xf numFmtId="164" fontId="15" fillId="0" borderId="1" xfId="0" applyNumberFormat="1" applyFont="1" applyBorder="1" applyAlignment="1">
      <alignment vertical="center" wrapText="1"/>
    </xf>
    <xf numFmtId="164" fontId="16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topLeftCell="A14" zoomScaleNormal="100" workbookViewId="0">
      <selection activeCell="C19" sqref="C19"/>
    </sheetView>
  </sheetViews>
  <sheetFormatPr baseColWidth="10" defaultColWidth="9" defaultRowHeight="14.5" customHeight="1"/>
  <cols>
    <col min="1" max="1" width="10" customWidth="1"/>
    <col min="2" max="2" width="36" customWidth="1"/>
    <col min="3" max="3" width="20" customWidth="1"/>
  </cols>
  <sheetData>
    <row r="1" spans="1:3" ht="32" customHeight="1">
      <c r="A1" s="25" t="s">
        <v>0</v>
      </c>
      <c r="B1" s="25"/>
      <c r="C1" s="25"/>
    </row>
    <row r="2" spans="1:3" ht="26" customHeight="1">
      <c r="A2" s="1" t="s">
        <v>1</v>
      </c>
      <c r="B2" s="1" t="s">
        <v>2</v>
      </c>
      <c r="C2" s="1" t="s">
        <v>3</v>
      </c>
    </row>
    <row r="3" spans="1:3" ht="22" customHeight="1">
      <c r="A3" s="2"/>
      <c r="B3" s="3" t="s">
        <v>4</v>
      </c>
      <c r="C3" s="4" t="str">
        <f>HYPERLINK("#'合计'!A1","点击跳转 ➔")</f>
        <v>点击跳转 ➔</v>
      </c>
    </row>
    <row r="4" spans="1:3" ht="22" customHeight="1">
      <c r="A4" s="2"/>
      <c r="B4" s="3" t="s">
        <v>5</v>
      </c>
      <c r="C4" s="4" t="str">
        <f>HYPERLINK("#'浙江销售分公司配餐业务'!A1","点击跳转 ➔")</f>
        <v>点击跳转 ➔</v>
      </c>
    </row>
    <row r="5" spans="1:3" ht="22" customHeight="1">
      <c r="A5" s="2"/>
      <c r="B5" s="3" t="s">
        <v>6</v>
      </c>
      <c r="C5" s="4" t="str">
        <f>HYPERLINK("#'浙江杭州销售分公司劳务输出_合并'!A1","点击跳转 ➔")</f>
        <v>点击跳转 ➔</v>
      </c>
    </row>
    <row r="6" spans="1:3" ht="22" customHeight="1">
      <c r="A6" s="2"/>
      <c r="B6" s="3" t="s">
        <v>7</v>
      </c>
      <c r="C6" s="4" t="str">
        <f>HYPERLINK("#'浙江杭州销售分公司劳务输出_222200150526'!A1","点击跳转 ➔")</f>
        <v>点击跳转 ➔</v>
      </c>
    </row>
    <row r="7" spans="1:3" ht="22" customHeight="1">
      <c r="A7" s="2"/>
      <c r="B7" s="3" t="s">
        <v>8</v>
      </c>
      <c r="C7" s="4" t="str">
        <f>HYPERLINK("#'浙江杭州销售分公司劳务输出_SH3B25Z076'!A1","点击跳转 ➔")</f>
        <v>点击跳转 ➔</v>
      </c>
    </row>
    <row r="8" spans="1:3" ht="22" customHeight="1">
      <c r="A8" s="2"/>
      <c r="B8" s="3" t="s">
        <v>9</v>
      </c>
      <c r="C8" s="4" t="str">
        <f>HYPERLINK("#'东北销售浙江宁波分公司配餐业务_合并'!A1","点击跳转 ➔")</f>
        <v>点击跳转 ➔</v>
      </c>
    </row>
    <row r="9" spans="1:3" ht="22" customHeight="1">
      <c r="A9" s="2"/>
      <c r="B9" s="3" t="s">
        <v>10</v>
      </c>
      <c r="C9" s="4" t="str">
        <f>HYPERLINK("#'东北销售浙江宁波分公司配餐业务_222200150527'!A1","点击跳转 ➔")</f>
        <v>点击跳转 ➔</v>
      </c>
    </row>
    <row r="10" spans="1:3" ht="22" customHeight="1">
      <c r="A10" s="2"/>
      <c r="B10" s="3" t="s">
        <v>11</v>
      </c>
      <c r="C10" s="4" t="str">
        <f>HYPERLINK("#'东北销售浙江宁波分公司配餐业务_SH3B26Z005'!A1","点击跳转 ➔")</f>
        <v>点击跳转 ➔</v>
      </c>
    </row>
    <row r="11" spans="1:3" ht="22" customHeight="1">
      <c r="A11" s="2"/>
      <c r="B11" s="3" t="s">
        <v>12</v>
      </c>
      <c r="C11" s="4" t="str">
        <f>HYPERLINK("#'东北销售浙江宁波分公司办公物业_合并'!A1","点击跳转 ➔")</f>
        <v>点击跳转 ➔</v>
      </c>
    </row>
    <row r="12" spans="1:3" ht="22" customHeight="1">
      <c r="A12" s="2"/>
      <c r="B12" s="3" t="s">
        <v>13</v>
      </c>
      <c r="C12" s="4" t="str">
        <f>HYPERLINK("#'东北销售浙江宁波分公司办公物业_222200150530'!A1","点击跳转 ➔")</f>
        <v>点击跳转 ➔</v>
      </c>
    </row>
    <row r="13" spans="1:3" ht="22" customHeight="1">
      <c r="A13" s="2"/>
      <c r="B13" s="3" t="s">
        <v>14</v>
      </c>
      <c r="C13" s="4" t="str">
        <f>HYPERLINK("#'东北销售浙江宁波分公司办公物业_SH3B26Z006'!A1","点击跳转 ➔")</f>
        <v>点击跳转 ➔</v>
      </c>
    </row>
    <row r="14" spans="1:3" ht="22" customHeight="1">
      <c r="A14" s="2"/>
      <c r="B14" s="3" t="s">
        <v>15</v>
      </c>
      <c r="C14" s="4" t="str">
        <f>HYPERLINK("#'浙江杭州地质研究院办公物业项目'!A1","点击跳转 ➔")</f>
        <v>点击跳转 ➔</v>
      </c>
    </row>
    <row r="15" spans="1:3" ht="22" customHeight="1">
      <c r="A15" s="2"/>
      <c r="B15" s="3" t="s">
        <v>16</v>
      </c>
      <c r="C15" s="4" t="str">
        <f>HYPERLINK("#'中石化天然气分公司浙江销售配餐项目_合并'!A1","点击跳转 ➔")</f>
        <v>点击跳转 ➔</v>
      </c>
    </row>
    <row r="16" spans="1:3" ht="22" customHeight="1">
      <c r="A16" s="2"/>
      <c r="B16" s="3" t="s">
        <v>17</v>
      </c>
      <c r="C16" s="4" t="str">
        <f>HYPERLINK("#'中石化天然气分公司浙江销售配餐项目_222200150535'!A1","点击跳转 ➔")</f>
        <v>点击跳转 ➔</v>
      </c>
    </row>
    <row r="17" spans="1:3" ht="22" customHeight="1">
      <c r="A17" s="2"/>
      <c r="B17" s="3" t="s">
        <v>18</v>
      </c>
      <c r="C17" s="4" t="str">
        <f>HYPERLINK("#'中石化天然气分公司浙江销售配餐项目_SH3B26Z002'!A1","点击跳转 ➔")</f>
        <v>点击跳转 ➔</v>
      </c>
    </row>
    <row r="18" spans="1:3" ht="22" customHeight="1">
      <c r="A18" s="2"/>
      <c r="B18" s="3" t="s">
        <v>19</v>
      </c>
      <c r="C18" s="4" t="str">
        <f>HYPERLINK("#'浙江杭州地质研究院配餐项目'!A1","点击跳转 ➔")</f>
        <v>点击跳转 ➔</v>
      </c>
    </row>
    <row r="19" spans="1:3" ht="22" customHeight="1">
      <c r="A19" s="2"/>
      <c r="B19" s="3" t="s">
        <v>20</v>
      </c>
      <c r="C19" s="4" t="str">
        <f>HYPERLINK("#'浙江绍兴销售分公司配餐劳务输出项目'!A1","点击跳转 ➔")</f>
        <v>点击跳转 ➔</v>
      </c>
    </row>
    <row r="20" spans="1:3" ht="22" customHeight="1">
      <c r="A20" s="2"/>
      <c r="B20" s="3" t="s">
        <v>21</v>
      </c>
      <c r="C20" s="4" t="str">
        <f>HYPERLINK("#'浙江金华销售分公司配餐劳务输出项目_合并'!A1","点击跳转 ➔")</f>
        <v>点击跳转 ➔</v>
      </c>
    </row>
    <row r="21" spans="1:3" ht="22" customHeight="1">
      <c r="A21" s="2"/>
      <c r="B21" s="3" t="s">
        <v>22</v>
      </c>
      <c r="C21" s="4" t="str">
        <f>HYPERLINK("#'浙江金华销售分公司配餐劳务输出项目_222200150541'!A1","点击跳转 ➔")</f>
        <v>点击跳转 ➔</v>
      </c>
    </row>
    <row r="22" spans="1:3" ht="22" customHeight="1">
      <c r="A22" s="2"/>
      <c r="B22" s="3" t="s">
        <v>23</v>
      </c>
      <c r="C22" s="4" t="str">
        <f>HYPERLINK("#'浙江金华销售分公司配餐劳务输出项目_SH3B26Z004'!A1","点击跳转 ➔")</f>
        <v>点击跳转 ➔</v>
      </c>
    </row>
    <row r="23" spans="1:3" ht="22" customHeight="1">
      <c r="A23" s="2"/>
      <c r="B23" s="3" t="s">
        <v>24</v>
      </c>
      <c r="C23" s="4" t="str">
        <f>HYPERLINK("#'浙江湖州销售分公司配餐业务_合并'!A1","点击跳转 ➔")</f>
        <v>点击跳转 ➔</v>
      </c>
    </row>
    <row r="24" spans="1:3" ht="22" customHeight="1">
      <c r="A24" s="2"/>
      <c r="B24" s="3" t="s">
        <v>25</v>
      </c>
      <c r="C24" s="4" t="str">
        <f>HYPERLINK("#'浙江湖州销售分公司配餐业务_222200150542'!A1","点击跳转 ➔")</f>
        <v>点击跳转 ➔</v>
      </c>
    </row>
    <row r="25" spans="1:3" ht="22" customHeight="1">
      <c r="A25" s="2"/>
      <c r="B25" s="3" t="s">
        <v>26</v>
      </c>
      <c r="C25" s="4" t="str">
        <f>HYPERLINK("#'浙江湖州销售分公司配餐业务_SH3B26Z001'!A1","点击跳转 ➔")</f>
        <v>点击跳转 ➔</v>
      </c>
    </row>
    <row r="26" spans="1:3" ht="22" customHeight="1">
      <c r="A26" s="2"/>
      <c r="B26" s="3" t="s">
        <v>27</v>
      </c>
      <c r="C26" s="4" t="str">
        <f>HYPERLINK("#'黄山阳光酒店分公司'!A1","点击跳转 ➔")</f>
        <v>点击跳转 ➔</v>
      </c>
    </row>
    <row r="27" spans="1:3" ht="22" customHeight="1">
      <c r="A27" s="2"/>
      <c r="B27" s="3" t="s">
        <v>28</v>
      </c>
      <c r="C27" s="4" t="str">
        <f>HYPERLINK("#'黄山项目部销售项目'!A1","点击跳转 ➔")</f>
        <v>点击跳转 ➔</v>
      </c>
    </row>
    <row r="28" spans="1:3" ht="22" customHeight="1">
      <c r="A28" s="2"/>
      <c r="B28" s="3" t="s">
        <v>29</v>
      </c>
      <c r="C28" s="4" t="str">
        <f>HYPERLINK("#'东北销售宁波分计量项目'!A1","点击跳转 ➔")</f>
        <v>点击跳转 ➔</v>
      </c>
    </row>
    <row r="29" spans="1:3" ht="22" customHeight="1">
      <c r="A29" s="2"/>
      <c r="B29" s="3" t="s">
        <v>30</v>
      </c>
      <c r="C29" s="4" t="str">
        <f>HYPERLINK("#'浙江衢州销售分公司配餐劳务项目'!A1","点击跳转 ➔")</f>
        <v>点击跳转 ➔</v>
      </c>
    </row>
  </sheetData>
  <mergeCells count="1">
    <mergeCell ref="A1:C1"/>
  </mergeCell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N40"/>
  <sheetViews>
    <sheetView zoomScale="70" zoomScaleNormal="70" workbookViewId="0">
      <selection activeCell="I3" sqref="I3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31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72" customHeight="1">
      <c r="A3" s="9" t="s">
        <v>45</v>
      </c>
      <c r="B3" s="10"/>
      <c r="C3" s="10"/>
      <c r="D3" s="10"/>
      <c r="E3" s="10"/>
      <c r="F3" s="10"/>
      <c r="G3" s="11" t="s">
        <v>46</v>
      </c>
      <c r="H3" s="10"/>
      <c r="I3" s="11" t="s">
        <v>46</v>
      </c>
      <c r="J3" s="10"/>
      <c r="K3" s="10"/>
      <c r="L3" s="10"/>
      <c r="M3" s="10"/>
      <c r="N3" s="10"/>
    </row>
    <row r="4" spans="1:14" ht="90" customHeight="1">
      <c r="A4" s="12" t="s">
        <v>47</v>
      </c>
      <c r="B4" s="10"/>
      <c r="C4" s="10"/>
      <c r="D4" s="10"/>
      <c r="E4" s="10"/>
      <c r="F4" s="10"/>
      <c r="G4" s="11" t="s">
        <v>48</v>
      </c>
      <c r="H4" s="10"/>
      <c r="I4" s="11" t="s">
        <v>48</v>
      </c>
      <c r="J4" s="10"/>
      <c r="K4" s="10"/>
      <c r="L4" s="10"/>
      <c r="M4" s="10"/>
      <c r="N4" s="10"/>
    </row>
    <row r="5" spans="1:14" ht="90" customHeight="1">
      <c r="A5" s="12" t="s">
        <v>49</v>
      </c>
      <c r="B5" s="10"/>
      <c r="C5" s="10"/>
      <c r="D5" s="10"/>
      <c r="E5" s="10"/>
      <c r="F5" s="10"/>
      <c r="G5" s="11" t="s">
        <v>48</v>
      </c>
      <c r="H5" s="10"/>
      <c r="I5" s="11" t="s">
        <v>48</v>
      </c>
      <c r="J5" s="10"/>
      <c r="K5" s="10"/>
      <c r="L5" s="10"/>
      <c r="M5" s="10"/>
      <c r="N5" s="10"/>
    </row>
    <row r="6" spans="1:14" ht="90" customHeight="1">
      <c r="A6" s="12" t="s">
        <v>50</v>
      </c>
      <c r="B6" s="10"/>
      <c r="C6" s="10"/>
      <c r="D6" s="10"/>
      <c r="E6" s="10"/>
      <c r="F6" s="10"/>
      <c r="G6" s="11" t="s">
        <v>48</v>
      </c>
      <c r="H6" s="10"/>
      <c r="I6" s="11" t="s">
        <v>48</v>
      </c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 t="s">
        <v>52</v>
      </c>
      <c r="H7" s="10"/>
      <c r="I7" s="11" t="s">
        <v>52</v>
      </c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54" customHeight="1">
      <c r="A9" s="12" t="s">
        <v>54</v>
      </c>
      <c r="B9" s="10"/>
      <c r="C9" s="10"/>
      <c r="D9" s="10"/>
      <c r="E9" s="10"/>
      <c r="F9" s="10"/>
      <c r="G9" s="11" t="s">
        <v>55</v>
      </c>
      <c r="H9" s="10"/>
      <c r="I9" s="11" t="s">
        <v>55</v>
      </c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 t="s">
        <v>52</v>
      </c>
      <c r="H10" s="10"/>
      <c r="I10" s="11" t="s">
        <v>52</v>
      </c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 t="s">
        <v>52</v>
      </c>
      <c r="H11" s="10"/>
      <c r="I11" s="11" t="s">
        <v>52</v>
      </c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65</v>
      </c>
      <c r="H17" s="10"/>
      <c r="I17" s="11" t="s">
        <v>65</v>
      </c>
      <c r="J17" s="10"/>
      <c r="K17" s="10"/>
      <c r="L17" s="10"/>
      <c r="M17" s="10"/>
      <c r="N17" s="10"/>
    </row>
    <row r="18" spans="1:14" ht="36" customHeight="1">
      <c r="A18" s="13" t="s">
        <v>66</v>
      </c>
      <c r="B18" s="10"/>
      <c r="C18" s="10"/>
      <c r="D18" s="10"/>
      <c r="E18" s="10"/>
      <c r="F18" s="10"/>
      <c r="G18" s="11" t="s">
        <v>67</v>
      </c>
      <c r="H18" s="10"/>
      <c r="I18" s="11" t="s">
        <v>67</v>
      </c>
      <c r="J18" s="10"/>
      <c r="K18" s="10"/>
      <c r="L18" s="10"/>
      <c r="M18" s="10"/>
      <c r="N18" s="10"/>
    </row>
    <row r="19" spans="1:14" ht="36" customHeight="1">
      <c r="A19" s="13" t="s">
        <v>68</v>
      </c>
      <c r="B19" s="10"/>
      <c r="C19" s="10"/>
      <c r="D19" s="10"/>
      <c r="E19" s="10"/>
      <c r="F19" s="10"/>
      <c r="G19" s="11" t="s">
        <v>69</v>
      </c>
      <c r="H19" s="10"/>
      <c r="I19" s="11" t="s">
        <v>69</v>
      </c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90" customHeight="1">
      <c r="A24" s="13" t="s">
        <v>74</v>
      </c>
      <c r="B24" s="10"/>
      <c r="C24" s="10"/>
      <c r="D24" s="10"/>
      <c r="E24" s="10"/>
      <c r="F24" s="10"/>
      <c r="G24" s="11" t="s">
        <v>75</v>
      </c>
      <c r="H24" s="10"/>
      <c r="I24" s="11" t="s">
        <v>75</v>
      </c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 t="s">
        <v>77</v>
      </c>
      <c r="H25" s="10"/>
      <c r="I25" s="11" t="s">
        <v>77</v>
      </c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 t="s">
        <v>52</v>
      </c>
      <c r="H26" s="10"/>
      <c r="I26" s="11" t="s">
        <v>52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 t="s">
        <v>52</v>
      </c>
      <c r="H28" s="10"/>
      <c r="I28" s="11" t="s">
        <v>52</v>
      </c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 t="s">
        <v>52</v>
      </c>
      <c r="H30" s="10"/>
      <c r="I30" s="11" t="s">
        <v>52</v>
      </c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36" customHeight="1">
      <c r="A34" s="17" t="s">
        <v>86</v>
      </c>
      <c r="B34" s="10"/>
      <c r="C34" s="10"/>
      <c r="D34" s="10"/>
      <c r="E34" s="10"/>
      <c r="F34" s="10"/>
      <c r="G34" s="11" t="s">
        <v>87</v>
      </c>
      <c r="H34" s="10"/>
      <c r="I34" s="11" t="s">
        <v>87</v>
      </c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 t="s">
        <v>52</v>
      </c>
      <c r="H36" s="10"/>
      <c r="I36" s="11" t="s">
        <v>52</v>
      </c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44" customHeight="1">
      <c r="A38" s="19" t="s">
        <v>91</v>
      </c>
      <c r="B38" s="10"/>
      <c r="C38" s="10"/>
      <c r="D38" s="10"/>
      <c r="E38" s="10"/>
      <c r="F38" s="10"/>
      <c r="G38" s="11" t="s">
        <v>92</v>
      </c>
      <c r="H38" s="10"/>
      <c r="I38" s="11" t="s">
        <v>92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44" customHeight="1">
      <c r="A40" s="21" t="s">
        <v>94</v>
      </c>
      <c r="B40" s="10"/>
      <c r="C40" s="10"/>
      <c r="D40" s="10"/>
      <c r="E40" s="10"/>
      <c r="F40" s="10"/>
      <c r="G40" s="11" t="s">
        <v>92</v>
      </c>
      <c r="H40" s="10"/>
      <c r="I40" s="11" t="s">
        <v>92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N40"/>
  <sheetViews>
    <sheetView zoomScale="70" zoomScaleNormal="70" workbookViewId="0">
      <selection activeCell="G19" sqref="G19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95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54" customHeight="1">
      <c r="A3" s="9" t="s">
        <v>45</v>
      </c>
      <c r="B3" s="10"/>
      <c r="C3" s="10"/>
      <c r="D3" s="10"/>
      <c r="E3" s="10"/>
      <c r="F3" s="10"/>
      <c r="G3" s="11" t="s">
        <v>96</v>
      </c>
      <c r="H3" s="10"/>
      <c r="I3" s="11" t="s">
        <v>96</v>
      </c>
      <c r="J3" s="10"/>
      <c r="K3" s="10"/>
      <c r="L3" s="10"/>
      <c r="M3" s="10"/>
      <c r="N3" s="10"/>
    </row>
    <row r="4" spans="1:14" ht="72" customHeight="1">
      <c r="A4" s="12" t="s">
        <v>47</v>
      </c>
      <c r="B4" s="10"/>
      <c r="C4" s="10"/>
      <c r="D4" s="10"/>
      <c r="E4" s="10"/>
      <c r="F4" s="10"/>
      <c r="G4" s="11" t="s">
        <v>97</v>
      </c>
      <c r="H4" s="10"/>
      <c r="I4" s="11" t="s">
        <v>97</v>
      </c>
      <c r="J4" s="10"/>
      <c r="K4" s="10"/>
      <c r="L4" s="10"/>
      <c r="M4" s="10"/>
      <c r="N4" s="10"/>
    </row>
    <row r="5" spans="1:14" ht="72" customHeight="1">
      <c r="A5" s="12" t="s">
        <v>49</v>
      </c>
      <c r="B5" s="10"/>
      <c r="C5" s="10"/>
      <c r="D5" s="10"/>
      <c r="E5" s="10"/>
      <c r="F5" s="10"/>
      <c r="G5" s="11" t="s">
        <v>98</v>
      </c>
      <c r="H5" s="10"/>
      <c r="I5" s="11" t="s">
        <v>98</v>
      </c>
      <c r="J5" s="10"/>
      <c r="K5" s="10"/>
      <c r="L5" s="10"/>
      <c r="M5" s="10"/>
      <c r="N5" s="10"/>
    </row>
    <row r="6" spans="1:14" ht="72" customHeight="1">
      <c r="A6" s="12" t="s">
        <v>50</v>
      </c>
      <c r="B6" s="10"/>
      <c r="C6" s="10"/>
      <c r="D6" s="10"/>
      <c r="E6" s="10"/>
      <c r="F6" s="10"/>
      <c r="G6" s="11" t="s">
        <v>98</v>
      </c>
      <c r="H6" s="10"/>
      <c r="I6" s="11" t="s">
        <v>98</v>
      </c>
      <c r="J6" s="10"/>
      <c r="K6" s="10"/>
      <c r="L6" s="10"/>
      <c r="M6" s="10"/>
      <c r="N6" s="10"/>
    </row>
    <row r="7" spans="1:14" ht="72" customHeight="1">
      <c r="A7" s="12" t="s">
        <v>51</v>
      </c>
      <c r="B7" s="10"/>
      <c r="C7" s="10"/>
      <c r="D7" s="10"/>
      <c r="E7" s="10"/>
      <c r="F7" s="10"/>
      <c r="G7" s="11" t="s">
        <v>99</v>
      </c>
      <c r="H7" s="10"/>
      <c r="I7" s="11" t="s">
        <v>99</v>
      </c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65</v>
      </c>
      <c r="H17" s="10"/>
      <c r="I17" s="11" t="s">
        <v>65</v>
      </c>
      <c r="J17" s="10"/>
      <c r="K17" s="10"/>
      <c r="L17" s="10"/>
      <c r="M17" s="10"/>
      <c r="N17" s="10"/>
    </row>
    <row r="18" spans="1:14" ht="36" customHeight="1">
      <c r="A18" s="13" t="s">
        <v>66</v>
      </c>
      <c r="B18" s="10"/>
      <c r="C18" s="10"/>
      <c r="D18" s="10"/>
      <c r="E18" s="10"/>
      <c r="F18" s="10"/>
      <c r="G18" s="11" t="s">
        <v>67</v>
      </c>
      <c r="H18" s="10"/>
      <c r="I18" s="11" t="s">
        <v>67</v>
      </c>
      <c r="J18" s="10"/>
      <c r="K18" s="10"/>
      <c r="L18" s="10"/>
      <c r="M18" s="10"/>
      <c r="N18" s="10"/>
    </row>
    <row r="19" spans="1:14" ht="36" customHeight="1">
      <c r="A19" s="13" t="s">
        <v>68</v>
      </c>
      <c r="B19" s="10"/>
      <c r="C19" s="10"/>
      <c r="D19" s="10"/>
      <c r="E19" s="10"/>
      <c r="F19" s="10"/>
      <c r="G19" s="11" t="s">
        <v>100</v>
      </c>
      <c r="H19" s="10"/>
      <c r="I19" s="11" t="s">
        <v>100</v>
      </c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36" customHeight="1">
      <c r="A22" s="13" t="s">
        <v>72</v>
      </c>
      <c r="B22" s="10"/>
      <c r="C22" s="10"/>
      <c r="D22" s="10"/>
      <c r="E22" s="10"/>
      <c r="F22" s="10"/>
      <c r="G22" s="11" t="s">
        <v>101</v>
      </c>
      <c r="H22" s="10"/>
      <c r="I22" s="11" t="s">
        <v>101</v>
      </c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102</v>
      </c>
      <c r="H23" s="10"/>
      <c r="I23" s="11" t="s">
        <v>102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 t="s">
        <v>103</v>
      </c>
      <c r="H26" s="10"/>
      <c r="I26" s="11" t="s">
        <v>103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06" customHeight="1">
      <c r="A38" s="19" t="s">
        <v>91</v>
      </c>
      <c r="B38" s="10"/>
      <c r="C38" s="10"/>
      <c r="D38" s="10"/>
      <c r="E38" s="10"/>
      <c r="F38" s="10"/>
      <c r="G38" s="11" t="s">
        <v>104</v>
      </c>
      <c r="H38" s="10"/>
      <c r="I38" s="11" t="s">
        <v>104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306" customHeight="1">
      <c r="A40" s="21" t="s">
        <v>94</v>
      </c>
      <c r="B40" s="10"/>
      <c r="C40" s="10"/>
      <c r="D40" s="10"/>
      <c r="E40" s="10"/>
      <c r="F40" s="10"/>
      <c r="G40" s="11" t="s">
        <v>104</v>
      </c>
      <c r="H40" s="10"/>
      <c r="I40" s="11" t="s">
        <v>104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N40"/>
  <sheetViews>
    <sheetView zoomScale="70" zoomScaleNormal="70" workbookViewId="0">
      <selection activeCell="G17" sqref="G17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105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72" customHeight="1">
      <c r="A3" s="9" t="s">
        <v>45</v>
      </c>
      <c r="B3" s="10"/>
      <c r="C3" s="10"/>
      <c r="D3" s="10"/>
      <c r="E3" s="10"/>
      <c r="F3" s="10"/>
      <c r="G3" s="11" t="s">
        <v>106</v>
      </c>
      <c r="H3" s="10"/>
      <c r="I3" s="11" t="s">
        <v>106</v>
      </c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36" customHeight="1">
      <c r="A17" s="13" t="s">
        <v>64</v>
      </c>
      <c r="B17" s="10"/>
      <c r="C17" s="10"/>
      <c r="D17" s="10"/>
      <c r="E17" s="10"/>
      <c r="F17" s="10"/>
      <c r="G17" s="11" t="s">
        <v>107</v>
      </c>
      <c r="H17" s="10"/>
      <c r="I17" s="11" t="s">
        <v>107</v>
      </c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 t="s">
        <v>108</v>
      </c>
      <c r="H18" s="10"/>
      <c r="I18" s="11" t="s">
        <v>108</v>
      </c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102</v>
      </c>
      <c r="H23" s="10"/>
      <c r="I23" s="11" t="s">
        <v>102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 t="s">
        <v>103</v>
      </c>
      <c r="H26" s="10"/>
      <c r="I26" s="11" t="s">
        <v>103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72" customHeight="1">
      <c r="A38" s="19" t="s">
        <v>91</v>
      </c>
      <c r="B38" s="10"/>
      <c r="C38" s="10"/>
      <c r="D38" s="10"/>
      <c r="E38" s="10"/>
      <c r="F38" s="10"/>
      <c r="G38" s="11" t="s">
        <v>109</v>
      </c>
      <c r="H38" s="10"/>
      <c r="I38" s="11" t="s">
        <v>109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72" customHeight="1">
      <c r="A40" s="21" t="s">
        <v>94</v>
      </c>
      <c r="B40" s="10"/>
      <c r="C40" s="10"/>
      <c r="D40" s="10"/>
      <c r="E40" s="10"/>
      <c r="F40" s="10"/>
      <c r="G40" s="11" t="s">
        <v>109</v>
      </c>
      <c r="H40" s="10"/>
      <c r="I40" s="11" t="s">
        <v>109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0"/>
  <sheetViews>
    <sheetView zoomScaleNormal="100" workbookViewId="0">
      <selection activeCell="A10" sqref="A10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zoomScale="85" zoomScaleNormal="85" workbookViewId="0">
      <selection activeCell="H15" sqref="H15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N40"/>
  <sheetViews>
    <sheetView zoomScale="70" zoomScaleNormal="70" workbookViewId="0">
      <selection activeCell="G23" sqref="G23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72" customHeight="1">
      <c r="A3" s="9" t="s">
        <v>45</v>
      </c>
      <c r="B3" s="10"/>
      <c r="C3" s="10"/>
      <c r="D3" s="10"/>
      <c r="E3" s="10"/>
      <c r="F3" s="10"/>
      <c r="G3" s="11" t="s">
        <v>113</v>
      </c>
      <c r="H3" s="10"/>
      <c r="I3" s="11" t="s">
        <v>113</v>
      </c>
      <c r="J3" s="10"/>
      <c r="K3" s="10"/>
      <c r="L3" s="10"/>
      <c r="M3" s="10"/>
      <c r="N3" s="10"/>
    </row>
    <row r="4" spans="1:14" ht="36" customHeight="1">
      <c r="A4" s="12" t="s">
        <v>47</v>
      </c>
      <c r="B4" s="10"/>
      <c r="C4" s="10"/>
      <c r="D4" s="10"/>
      <c r="E4" s="10"/>
      <c r="F4" s="10"/>
      <c r="G4" s="11" t="s">
        <v>114</v>
      </c>
      <c r="H4" s="10"/>
      <c r="I4" s="11" t="s">
        <v>114</v>
      </c>
      <c r="J4" s="10"/>
      <c r="K4" s="10"/>
      <c r="L4" s="10"/>
      <c r="M4" s="10"/>
      <c r="N4" s="10"/>
    </row>
    <row r="5" spans="1:14" ht="36" customHeight="1">
      <c r="A5" s="12" t="s">
        <v>49</v>
      </c>
      <c r="B5" s="10"/>
      <c r="C5" s="10"/>
      <c r="D5" s="10"/>
      <c r="E5" s="10"/>
      <c r="F5" s="10"/>
      <c r="G5" s="11" t="s">
        <v>114</v>
      </c>
      <c r="H5" s="10"/>
      <c r="I5" s="11" t="s">
        <v>114</v>
      </c>
      <c r="J5" s="10"/>
      <c r="K5" s="10"/>
      <c r="L5" s="10"/>
      <c r="M5" s="10"/>
      <c r="N5" s="10"/>
    </row>
    <row r="6" spans="1:14" ht="36" customHeight="1">
      <c r="A6" s="12" t="s">
        <v>50</v>
      </c>
      <c r="B6" s="10"/>
      <c r="C6" s="10"/>
      <c r="D6" s="10"/>
      <c r="E6" s="10"/>
      <c r="F6" s="10"/>
      <c r="G6" s="11" t="s">
        <v>114</v>
      </c>
      <c r="H6" s="10"/>
      <c r="I6" s="11" t="s">
        <v>114</v>
      </c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102</v>
      </c>
      <c r="H23" s="10"/>
      <c r="I23" s="11" t="s">
        <v>102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 t="s">
        <v>103</v>
      </c>
      <c r="H26" s="10"/>
      <c r="I26" s="11" t="s">
        <v>103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08" customHeight="1">
      <c r="A38" s="19" t="s">
        <v>91</v>
      </c>
      <c r="B38" s="10"/>
      <c r="C38" s="10"/>
      <c r="D38" s="10"/>
      <c r="E38" s="10"/>
      <c r="F38" s="10"/>
      <c r="G38" s="11" t="s">
        <v>115</v>
      </c>
      <c r="H38" s="10"/>
      <c r="I38" s="11" t="s">
        <v>115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08" customHeight="1">
      <c r="A40" s="21" t="s">
        <v>94</v>
      </c>
      <c r="B40" s="10"/>
      <c r="C40" s="10"/>
      <c r="D40" s="10"/>
      <c r="E40" s="10"/>
      <c r="F40" s="10"/>
      <c r="G40" s="11" t="s">
        <v>115</v>
      </c>
      <c r="H40" s="10"/>
      <c r="I40" s="11" t="s">
        <v>115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0"/>
  <sheetViews>
    <sheetView zoomScaleNormal="10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0"/>
  <sheetViews>
    <sheetView zoomScaleNormal="10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0"/>
  <sheetViews>
    <sheetView zoomScale="70" zoomScaleNormal="70" workbookViewId="0">
      <selection activeCell="G23" sqref="G23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36" customHeight="1">
      <c r="A3" s="9" t="s">
        <v>45</v>
      </c>
      <c r="B3" s="10"/>
      <c r="C3" s="10"/>
      <c r="D3" s="10"/>
      <c r="E3" s="10"/>
      <c r="F3" s="10"/>
      <c r="G3" s="11" t="s">
        <v>119</v>
      </c>
      <c r="H3" s="10"/>
      <c r="I3" s="11" t="s">
        <v>119</v>
      </c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120</v>
      </c>
      <c r="H17" s="10"/>
      <c r="I17" s="11" t="s">
        <v>120</v>
      </c>
      <c r="J17" s="10"/>
      <c r="K17" s="10"/>
      <c r="L17" s="10"/>
      <c r="M17" s="10"/>
      <c r="N17" s="10"/>
    </row>
    <row r="18" spans="1:14" ht="36" customHeight="1">
      <c r="A18" s="13" t="s">
        <v>66</v>
      </c>
      <c r="B18" s="10"/>
      <c r="C18" s="10"/>
      <c r="D18" s="10"/>
      <c r="E18" s="10"/>
      <c r="F18" s="10"/>
      <c r="G18" s="11" t="s">
        <v>121</v>
      </c>
      <c r="H18" s="10"/>
      <c r="I18" s="11" t="s">
        <v>121</v>
      </c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102</v>
      </c>
      <c r="H23" s="10"/>
      <c r="I23" s="11" t="s">
        <v>102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 t="s">
        <v>103</v>
      </c>
      <c r="H26" s="10"/>
      <c r="I26" s="11" t="s">
        <v>103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54" customHeight="1">
      <c r="A38" s="19" t="s">
        <v>91</v>
      </c>
      <c r="B38" s="10"/>
      <c r="C38" s="10"/>
      <c r="D38" s="10"/>
      <c r="E38" s="10"/>
      <c r="F38" s="10"/>
      <c r="G38" s="11" t="s">
        <v>122</v>
      </c>
      <c r="H38" s="10"/>
      <c r="I38" s="11" t="s">
        <v>122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54" customHeight="1">
      <c r="A40" s="21" t="s">
        <v>94</v>
      </c>
      <c r="B40" s="10"/>
      <c r="C40" s="10"/>
      <c r="D40" s="10"/>
      <c r="E40" s="10"/>
      <c r="F40" s="10"/>
      <c r="G40" s="11" t="s">
        <v>122</v>
      </c>
      <c r="H40" s="10"/>
      <c r="I40" s="11" t="s">
        <v>122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0"/>
  <sheetViews>
    <sheetView zoomScaleNormal="10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0"/>
  <sheetViews>
    <sheetView zoomScale="70" zoomScaleNormal="70" workbookViewId="0">
      <selection activeCell="G40" sqref="G40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124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 t="s">
        <v>125</v>
      </c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 t="s">
        <v>125</v>
      </c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N40"/>
  <sheetViews>
    <sheetView zoomScale="70" zoomScaleNormal="70" workbookViewId="0">
      <selection activeCell="G17" sqref="G17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126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54" customHeight="1">
      <c r="A3" s="9" t="s">
        <v>45</v>
      </c>
      <c r="B3" s="10"/>
      <c r="C3" s="10"/>
      <c r="D3" s="10"/>
      <c r="E3" s="10"/>
      <c r="F3" s="10"/>
      <c r="G3" s="11" t="s">
        <v>127</v>
      </c>
      <c r="H3" s="10"/>
      <c r="I3" s="11" t="s">
        <v>127</v>
      </c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120</v>
      </c>
      <c r="H17" s="10"/>
      <c r="I17" s="11" t="s">
        <v>120</v>
      </c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 t="s">
        <v>128</v>
      </c>
      <c r="H18" s="10"/>
      <c r="I18" s="11" t="s">
        <v>128</v>
      </c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 t="s">
        <v>129</v>
      </c>
      <c r="H21" s="10"/>
      <c r="I21" s="11" t="s">
        <v>129</v>
      </c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 t="s">
        <v>130</v>
      </c>
      <c r="H22" s="10"/>
      <c r="I22" s="11" t="s">
        <v>130</v>
      </c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131</v>
      </c>
      <c r="H23" s="10"/>
      <c r="I23" s="11" t="s">
        <v>131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62" customHeight="1">
      <c r="A38" s="19" t="s">
        <v>91</v>
      </c>
      <c r="B38" s="10"/>
      <c r="C38" s="10"/>
      <c r="D38" s="10"/>
      <c r="E38" s="10"/>
      <c r="F38" s="10"/>
      <c r="G38" s="11" t="s">
        <v>132</v>
      </c>
      <c r="H38" s="10"/>
      <c r="I38" s="11" t="s">
        <v>132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62" customHeight="1">
      <c r="A40" s="21" t="s">
        <v>94</v>
      </c>
      <c r="B40" s="10"/>
      <c r="C40" s="10"/>
      <c r="D40" s="10"/>
      <c r="E40" s="10"/>
      <c r="F40" s="10"/>
      <c r="G40" s="11" t="s">
        <v>132</v>
      </c>
      <c r="H40" s="10"/>
      <c r="I40" s="11" t="s">
        <v>132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N40"/>
  <sheetViews>
    <sheetView zoomScale="70" zoomScaleNormal="70" workbookViewId="0">
      <selection activeCell="G17" sqref="G17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133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54" customHeight="1">
      <c r="A3" s="9" t="s">
        <v>45</v>
      </c>
      <c r="B3" s="10"/>
      <c r="C3" s="10"/>
      <c r="D3" s="10"/>
      <c r="E3" s="10"/>
      <c r="F3" s="10"/>
      <c r="G3" s="11" t="s">
        <v>134</v>
      </c>
      <c r="H3" s="10"/>
      <c r="I3" s="11" t="s">
        <v>134</v>
      </c>
      <c r="J3" s="10"/>
      <c r="K3" s="10"/>
      <c r="L3" s="10"/>
      <c r="M3" s="10"/>
      <c r="N3" s="10"/>
    </row>
    <row r="4" spans="1:14" ht="36" customHeight="1">
      <c r="A4" s="12" t="s">
        <v>47</v>
      </c>
      <c r="B4" s="10"/>
      <c r="C4" s="10"/>
      <c r="D4" s="10"/>
      <c r="E4" s="10"/>
      <c r="F4" s="10"/>
      <c r="G4" s="11" t="s">
        <v>135</v>
      </c>
      <c r="H4" s="10"/>
      <c r="I4" s="11" t="s">
        <v>135</v>
      </c>
      <c r="J4" s="10"/>
      <c r="K4" s="10"/>
      <c r="L4" s="10"/>
      <c r="M4" s="10"/>
      <c r="N4" s="10"/>
    </row>
    <row r="5" spans="1:14" ht="36" customHeight="1">
      <c r="A5" s="12" t="s">
        <v>49</v>
      </c>
      <c r="B5" s="10"/>
      <c r="C5" s="10"/>
      <c r="D5" s="10"/>
      <c r="E5" s="10"/>
      <c r="F5" s="10"/>
      <c r="G5" s="11" t="s">
        <v>135</v>
      </c>
      <c r="H5" s="10"/>
      <c r="I5" s="11" t="s">
        <v>135</v>
      </c>
      <c r="J5" s="10"/>
      <c r="K5" s="10"/>
      <c r="L5" s="10"/>
      <c r="M5" s="10"/>
      <c r="N5" s="10"/>
    </row>
    <row r="6" spans="1:14" ht="36" customHeight="1">
      <c r="A6" s="12" t="s">
        <v>50</v>
      </c>
      <c r="B6" s="10"/>
      <c r="C6" s="10"/>
      <c r="D6" s="10"/>
      <c r="E6" s="10"/>
      <c r="F6" s="10"/>
      <c r="G6" s="11" t="s">
        <v>135</v>
      </c>
      <c r="H6" s="10"/>
      <c r="I6" s="11" t="s">
        <v>135</v>
      </c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120</v>
      </c>
      <c r="H17" s="10"/>
      <c r="I17" s="11" t="s">
        <v>120</v>
      </c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 t="s">
        <v>120</v>
      </c>
      <c r="H18" s="10"/>
      <c r="I18" s="11" t="s">
        <v>120</v>
      </c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36" customHeight="1">
      <c r="A23" s="13" t="s">
        <v>73</v>
      </c>
      <c r="B23" s="10"/>
      <c r="C23" s="10"/>
      <c r="D23" s="10"/>
      <c r="E23" s="10"/>
      <c r="F23" s="10"/>
      <c r="G23" s="11" t="s">
        <v>136</v>
      </c>
      <c r="H23" s="10"/>
      <c r="I23" s="11" t="s">
        <v>136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54" customHeight="1">
      <c r="A26" s="13" t="s">
        <v>78</v>
      </c>
      <c r="B26" s="10"/>
      <c r="C26" s="10"/>
      <c r="D26" s="10"/>
      <c r="E26" s="10"/>
      <c r="F26" s="10"/>
      <c r="G26" s="11" t="s">
        <v>137</v>
      </c>
      <c r="H26" s="10"/>
      <c r="I26" s="11" t="s">
        <v>137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72" customHeight="1">
      <c r="A38" s="19" t="s">
        <v>91</v>
      </c>
      <c r="B38" s="10"/>
      <c r="C38" s="10"/>
      <c r="D38" s="10"/>
      <c r="E38" s="10"/>
      <c r="F38" s="10"/>
      <c r="G38" s="11" t="s">
        <v>138</v>
      </c>
      <c r="H38" s="10"/>
      <c r="I38" s="11" t="s">
        <v>138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72" customHeight="1">
      <c r="A40" s="21" t="s">
        <v>94</v>
      </c>
      <c r="B40" s="10"/>
      <c r="C40" s="10"/>
      <c r="D40" s="10"/>
      <c r="E40" s="10"/>
      <c r="F40" s="10"/>
      <c r="G40" s="11" t="s">
        <v>138</v>
      </c>
      <c r="H40" s="10"/>
      <c r="I40" s="11" t="s">
        <v>138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0"/>
  <sheetViews>
    <sheetView zoomScaleNormal="10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0"/>
  <sheetViews>
    <sheetView zoomScaleNormal="100" workbookViewId="0">
      <selection activeCell="G40" sqref="G40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140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 t="s">
        <v>125</v>
      </c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 t="s">
        <v>125</v>
      </c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N40"/>
  <sheetViews>
    <sheetView zoomScale="70" zoomScaleNormal="70" workbookViewId="0">
      <selection activeCell="G27" sqref="G27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141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99" customHeight="1">
      <c r="A3" s="9" t="s">
        <v>45</v>
      </c>
      <c r="B3" s="10"/>
      <c r="C3" s="10"/>
      <c r="D3" s="10"/>
      <c r="E3" s="10"/>
      <c r="F3" s="10"/>
      <c r="G3" s="11" t="s">
        <v>142</v>
      </c>
      <c r="H3" s="10"/>
      <c r="I3" s="11" t="s">
        <v>142</v>
      </c>
      <c r="J3" s="10"/>
      <c r="K3" s="10"/>
      <c r="L3" s="10"/>
      <c r="M3" s="10"/>
      <c r="N3" s="10"/>
    </row>
    <row r="4" spans="1:14" ht="57" customHeight="1">
      <c r="A4" s="12" t="s">
        <v>47</v>
      </c>
      <c r="B4" s="10"/>
      <c r="C4" s="10"/>
      <c r="D4" s="10"/>
      <c r="E4" s="10"/>
      <c r="F4" s="10"/>
      <c r="G4" s="11" t="s">
        <v>143</v>
      </c>
      <c r="H4" s="10"/>
      <c r="I4" s="11" t="s">
        <v>143</v>
      </c>
      <c r="J4" s="10"/>
      <c r="K4" s="10"/>
      <c r="L4" s="10"/>
      <c r="M4" s="10"/>
      <c r="N4" s="10"/>
    </row>
    <row r="5" spans="1:14" ht="72" customHeight="1">
      <c r="A5" s="12" t="s">
        <v>49</v>
      </c>
      <c r="B5" s="10"/>
      <c r="C5" s="10"/>
      <c r="D5" s="10"/>
      <c r="E5" s="10"/>
      <c r="F5" s="10"/>
      <c r="G5" s="11" t="s">
        <v>143</v>
      </c>
      <c r="H5" s="10"/>
      <c r="I5" s="11" t="s">
        <v>143</v>
      </c>
      <c r="J5" s="10"/>
      <c r="K5" s="10"/>
      <c r="L5" s="10"/>
      <c r="M5" s="10"/>
      <c r="N5" s="10"/>
    </row>
    <row r="6" spans="1:14" ht="72" customHeight="1">
      <c r="A6" s="12" t="s">
        <v>50</v>
      </c>
      <c r="B6" s="10"/>
      <c r="C6" s="10"/>
      <c r="D6" s="10"/>
      <c r="E6" s="10"/>
      <c r="F6" s="10"/>
      <c r="G6" s="11" t="s">
        <v>143</v>
      </c>
      <c r="H6" s="10"/>
      <c r="I6" s="11" t="s">
        <v>143</v>
      </c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 t="s">
        <v>144</v>
      </c>
      <c r="H7" s="10"/>
      <c r="I7" s="11" t="s">
        <v>144</v>
      </c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36" customHeight="1">
      <c r="A17" s="13" t="s">
        <v>64</v>
      </c>
      <c r="B17" s="10"/>
      <c r="C17" s="10"/>
      <c r="D17" s="10"/>
      <c r="E17" s="10"/>
      <c r="F17" s="10"/>
      <c r="G17" s="11" t="s">
        <v>145</v>
      </c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52</v>
      </c>
      <c r="H23" s="10"/>
      <c r="I23" s="11" t="s">
        <v>52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0" customHeight="1">
      <c r="A38" s="19" t="s">
        <v>91</v>
      </c>
      <c r="B38" s="10"/>
      <c r="C38" s="10"/>
      <c r="D38" s="10"/>
      <c r="E38" s="10"/>
      <c r="F38" s="10"/>
      <c r="G38" s="11" t="s">
        <v>142</v>
      </c>
      <c r="H38" s="10"/>
      <c r="I38" s="11" t="s">
        <v>142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0" customHeight="1">
      <c r="A40" s="21" t="s">
        <v>94</v>
      </c>
      <c r="B40" s="10"/>
      <c r="C40" s="10"/>
      <c r="D40" s="10"/>
      <c r="E40" s="10"/>
      <c r="F40" s="10"/>
      <c r="G40" s="11" t="s">
        <v>142</v>
      </c>
      <c r="H40" s="10"/>
      <c r="I40" s="11" t="s">
        <v>142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N40"/>
  <sheetViews>
    <sheetView tabSelected="1" zoomScale="70" zoomScaleNormal="7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146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54" customHeight="1">
      <c r="A3" s="9" t="s">
        <v>45</v>
      </c>
      <c r="B3" s="10"/>
      <c r="C3" s="10"/>
      <c r="D3" s="10"/>
      <c r="E3" s="10"/>
      <c r="F3" s="10"/>
      <c r="G3" s="11" t="s">
        <v>147</v>
      </c>
      <c r="H3" s="10"/>
      <c r="I3" s="11" t="s">
        <v>147</v>
      </c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62</v>
      </c>
      <c r="H15" s="10"/>
      <c r="I15" s="11" t="s">
        <v>62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120</v>
      </c>
      <c r="H17" s="10"/>
      <c r="I17" s="11" t="s">
        <v>120</v>
      </c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 t="s">
        <v>120</v>
      </c>
      <c r="H18" s="10"/>
      <c r="I18" s="11" t="s">
        <v>120</v>
      </c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52</v>
      </c>
      <c r="H23" s="10"/>
      <c r="I23" s="11" t="s">
        <v>52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 t="s">
        <v>52</v>
      </c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72" customHeight="1">
      <c r="A38" s="19" t="s">
        <v>91</v>
      </c>
      <c r="B38" s="10"/>
      <c r="C38" s="10"/>
      <c r="D38" s="10"/>
      <c r="E38" s="10"/>
      <c r="F38" s="10"/>
      <c r="G38" s="11" t="s">
        <v>148</v>
      </c>
      <c r="H38" s="10"/>
      <c r="I38" s="11" t="s">
        <v>148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72" customHeight="1">
      <c r="A40" s="21" t="s">
        <v>94</v>
      </c>
      <c r="B40" s="10"/>
      <c r="C40" s="10"/>
      <c r="D40" s="10"/>
      <c r="E40" s="10"/>
      <c r="F40" s="10"/>
      <c r="G40" s="11" t="s">
        <v>148</v>
      </c>
      <c r="H40" s="10"/>
      <c r="I40" s="11" t="s">
        <v>148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N40"/>
  <sheetViews>
    <sheetView zoomScale="70" zoomScaleNormal="70" workbookViewId="0">
      <selection activeCell="I43" sqref="I43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149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36" customHeight="1">
      <c r="A3" s="9" t="s">
        <v>45</v>
      </c>
      <c r="B3" s="10"/>
      <c r="C3" s="10"/>
      <c r="D3" s="10"/>
      <c r="E3" s="10"/>
      <c r="F3" s="10"/>
      <c r="G3" s="11" t="s">
        <v>150</v>
      </c>
      <c r="H3" s="10"/>
      <c r="I3" s="11" t="s">
        <v>150</v>
      </c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151</v>
      </c>
      <c r="H15" s="10"/>
      <c r="I15" s="11" t="s">
        <v>151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120</v>
      </c>
      <c r="H17" s="10"/>
      <c r="I17" s="11" t="s">
        <v>120</v>
      </c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52</v>
      </c>
      <c r="H23" s="10"/>
      <c r="I23" s="11" t="s">
        <v>52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 t="s">
        <v>52</v>
      </c>
      <c r="H26" s="10"/>
      <c r="I26" s="11" t="s">
        <v>52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90" customHeight="1">
      <c r="A38" s="19" t="s">
        <v>91</v>
      </c>
      <c r="B38" s="10"/>
      <c r="C38" s="10"/>
      <c r="D38" s="10"/>
      <c r="E38" s="10"/>
      <c r="F38" s="10"/>
      <c r="G38" s="11" t="s">
        <v>152</v>
      </c>
      <c r="H38" s="10"/>
      <c r="I38" s="11" t="s">
        <v>152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90" customHeight="1">
      <c r="A40" s="21" t="s">
        <v>94</v>
      </c>
      <c r="B40" s="10"/>
      <c r="C40" s="10"/>
      <c r="D40" s="10"/>
      <c r="E40" s="10"/>
      <c r="F40" s="10"/>
      <c r="G40" s="11" t="s">
        <v>152</v>
      </c>
      <c r="H40" s="10"/>
      <c r="I40" s="11" t="s">
        <v>152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40"/>
  <sheetViews>
    <sheetView zoomScaleNormal="10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40"/>
  <sheetViews>
    <sheetView zoomScaleNormal="10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154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N40"/>
  <sheetViews>
    <sheetView zoomScale="70" zoomScaleNormal="70" workbookViewId="0">
      <selection activeCell="G15" sqref="G15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 t="s">
        <v>156</v>
      </c>
      <c r="H3" s="10"/>
      <c r="I3" s="11" t="s">
        <v>52</v>
      </c>
      <c r="J3" s="10"/>
      <c r="K3" s="10"/>
      <c r="L3" s="10"/>
      <c r="M3" s="10"/>
      <c r="N3" s="10"/>
    </row>
    <row r="4" spans="1:14" ht="36" customHeight="1">
      <c r="A4" s="12" t="s">
        <v>47</v>
      </c>
      <c r="B4" s="10"/>
      <c r="C4" s="10"/>
      <c r="D4" s="10"/>
      <c r="E4" s="10"/>
      <c r="F4" s="10"/>
      <c r="G4" s="11" t="s">
        <v>157</v>
      </c>
      <c r="H4" s="10"/>
      <c r="I4" s="11"/>
      <c r="J4" s="10"/>
      <c r="K4" s="10"/>
      <c r="L4" s="10"/>
      <c r="M4" s="10"/>
      <c r="N4" s="10"/>
    </row>
    <row r="5" spans="1:14" ht="36" customHeight="1">
      <c r="A5" s="12" t="s">
        <v>49</v>
      </c>
      <c r="B5" s="10"/>
      <c r="C5" s="10"/>
      <c r="D5" s="10"/>
      <c r="E5" s="10"/>
      <c r="F5" s="10"/>
      <c r="G5" s="11" t="s">
        <v>157</v>
      </c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36" customHeight="1">
      <c r="A9" s="12" t="s">
        <v>54</v>
      </c>
      <c r="B9" s="10"/>
      <c r="C9" s="10"/>
      <c r="D9" s="10"/>
      <c r="E9" s="10"/>
      <c r="F9" s="10"/>
      <c r="G9" s="11" t="s">
        <v>157</v>
      </c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151</v>
      </c>
      <c r="H15" s="10"/>
      <c r="I15" s="11" t="s">
        <v>151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120</v>
      </c>
      <c r="H17" s="10"/>
      <c r="I17" s="11" t="s">
        <v>120</v>
      </c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 t="s">
        <v>52</v>
      </c>
      <c r="H23" s="10"/>
      <c r="I23" s="11" t="s">
        <v>52</v>
      </c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 t="s">
        <v>52</v>
      </c>
      <c r="H26" s="10"/>
      <c r="I26" s="11" t="s">
        <v>52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44" customHeight="1">
      <c r="A38" s="19" t="s">
        <v>91</v>
      </c>
      <c r="B38" s="10"/>
      <c r="C38" s="10"/>
      <c r="D38" s="10"/>
      <c r="E38" s="10"/>
      <c r="F38" s="10"/>
      <c r="G38" s="11" t="s">
        <v>158</v>
      </c>
      <c r="H38" s="10"/>
      <c r="I38" s="11" t="s">
        <v>158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44" customHeight="1">
      <c r="A40" s="21" t="s">
        <v>94</v>
      </c>
      <c r="B40" s="10"/>
      <c r="C40" s="10"/>
      <c r="D40" s="10"/>
      <c r="E40" s="10"/>
      <c r="F40" s="10"/>
      <c r="G40" s="11" t="s">
        <v>158</v>
      </c>
      <c r="H40" s="10"/>
      <c r="I40" s="11" t="s">
        <v>158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40"/>
  <sheetViews>
    <sheetView zoomScaleNormal="10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N40"/>
  <sheetViews>
    <sheetView zoomScaleNormal="100" workbookViewId="0"/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>
      <c r="A38" s="19" t="s">
        <v>91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>
      <c r="A40" s="21" t="s">
        <v>94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N40"/>
  <sheetViews>
    <sheetView zoomScale="70" zoomScaleNormal="70" workbookViewId="0">
      <selection activeCell="I26" sqref="I26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161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26.5" customHeight="1">
      <c r="A3" s="9" t="s">
        <v>45</v>
      </c>
      <c r="B3" s="10"/>
      <c r="C3" s="10"/>
      <c r="D3" s="10"/>
      <c r="E3" s="10"/>
      <c r="F3" s="10"/>
      <c r="G3" s="22" t="s">
        <v>162</v>
      </c>
      <c r="H3" s="10"/>
      <c r="I3" s="23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22"/>
      <c r="H4" s="10"/>
      <c r="I4" s="23" t="s">
        <v>163</v>
      </c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22"/>
      <c r="H5" s="10"/>
      <c r="I5" s="23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22"/>
      <c r="H6" s="10"/>
      <c r="I6" s="23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22"/>
      <c r="H7" s="10"/>
      <c r="I7" s="23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22"/>
      <c r="H8" s="10"/>
      <c r="I8" s="23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22"/>
      <c r="H9" s="10"/>
      <c r="I9" s="23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22"/>
      <c r="H10" s="10"/>
      <c r="I10" s="23"/>
      <c r="J10" s="10"/>
      <c r="K10" s="10"/>
      <c r="L10" s="10"/>
      <c r="M10" s="10"/>
      <c r="N10" s="10"/>
    </row>
    <row r="11" spans="1:14" ht="46.75" customHeight="1">
      <c r="A11" s="12" t="s">
        <v>57</v>
      </c>
      <c r="B11" s="10"/>
      <c r="C11" s="10"/>
      <c r="D11" s="10"/>
      <c r="E11" s="10"/>
      <c r="F11" s="10"/>
      <c r="G11" s="22" t="s">
        <v>164</v>
      </c>
      <c r="H11" s="10"/>
      <c r="I11" s="23" t="s">
        <v>164</v>
      </c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22"/>
      <c r="H12" s="10"/>
      <c r="I12" s="23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22"/>
      <c r="H13" s="10"/>
      <c r="I13" s="23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22"/>
      <c r="H14" s="10"/>
      <c r="I14" s="23"/>
      <c r="J14" s="10"/>
      <c r="K14" s="10"/>
      <c r="L14" s="10"/>
      <c r="M14" s="10"/>
      <c r="N14" s="10"/>
    </row>
    <row r="15" spans="1:14" ht="31.25" customHeight="1">
      <c r="A15" s="12" t="s">
        <v>61</v>
      </c>
      <c r="B15" s="10"/>
      <c r="C15" s="10"/>
      <c r="D15" s="10"/>
      <c r="E15" s="10"/>
      <c r="F15" s="10"/>
      <c r="G15" s="22"/>
      <c r="H15" s="10"/>
      <c r="I15" s="23" t="s">
        <v>165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22"/>
      <c r="H16" s="10"/>
      <c r="I16" s="23"/>
      <c r="J16" s="10"/>
      <c r="K16" s="10"/>
      <c r="L16" s="10"/>
      <c r="M16" s="10"/>
      <c r="N16" s="10"/>
    </row>
    <row r="17" spans="1:14" ht="31.25" customHeight="1">
      <c r="A17" s="13" t="s">
        <v>64</v>
      </c>
      <c r="B17" s="10"/>
      <c r="C17" s="10"/>
      <c r="D17" s="10"/>
      <c r="E17" s="10"/>
      <c r="F17" s="10"/>
      <c r="G17" s="22" t="s">
        <v>166</v>
      </c>
      <c r="H17" s="10"/>
      <c r="I17" s="23" t="s">
        <v>167</v>
      </c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22"/>
      <c r="H18" s="10"/>
      <c r="I18" s="23"/>
      <c r="J18" s="10"/>
      <c r="K18" s="10"/>
      <c r="L18" s="10"/>
      <c r="M18" s="10"/>
      <c r="N18" s="10"/>
    </row>
    <row r="19" spans="1:14" ht="31.25" customHeight="1">
      <c r="A19" s="13" t="s">
        <v>68</v>
      </c>
      <c r="B19" s="10"/>
      <c r="C19" s="10"/>
      <c r="D19" s="10"/>
      <c r="E19" s="10"/>
      <c r="F19" s="10"/>
      <c r="G19" s="22" t="s">
        <v>168</v>
      </c>
      <c r="H19" s="10"/>
      <c r="I19" s="23" t="s">
        <v>168</v>
      </c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22"/>
      <c r="H20" s="10"/>
      <c r="I20" s="23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22"/>
      <c r="H21" s="10"/>
      <c r="I21" s="23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22"/>
      <c r="H22" s="10"/>
      <c r="I22" s="23"/>
      <c r="J22" s="10"/>
      <c r="K22" s="10"/>
      <c r="L22" s="10"/>
      <c r="M22" s="10"/>
      <c r="N22" s="10"/>
    </row>
    <row r="23" spans="1:14" ht="46.75" customHeight="1">
      <c r="A23" s="13" t="s">
        <v>73</v>
      </c>
      <c r="B23" s="10"/>
      <c r="C23" s="10"/>
      <c r="D23" s="10"/>
      <c r="E23" s="10"/>
      <c r="F23" s="10"/>
      <c r="G23" s="22" t="s">
        <v>169</v>
      </c>
      <c r="H23" s="10"/>
      <c r="I23" s="23" t="s">
        <v>170</v>
      </c>
      <c r="J23" s="10"/>
      <c r="K23" s="10"/>
      <c r="L23" s="10"/>
      <c r="M23" s="10"/>
      <c r="N23" s="10"/>
    </row>
    <row r="24" spans="1:14" ht="46.75" customHeight="1">
      <c r="A24" s="13" t="s">
        <v>74</v>
      </c>
      <c r="B24" s="10"/>
      <c r="C24" s="10"/>
      <c r="D24" s="10"/>
      <c r="E24" s="10"/>
      <c r="F24" s="10"/>
      <c r="G24" s="22" t="s">
        <v>171</v>
      </c>
      <c r="H24" s="10"/>
      <c r="I24" s="23" t="s">
        <v>171</v>
      </c>
      <c r="J24" s="10"/>
      <c r="K24" s="10"/>
      <c r="L24" s="10"/>
      <c r="M24" s="10"/>
      <c r="N24" s="10"/>
    </row>
    <row r="25" spans="1:14" ht="26.5" customHeight="1">
      <c r="A25" s="13" t="s">
        <v>76</v>
      </c>
      <c r="B25" s="10"/>
      <c r="C25" s="10"/>
      <c r="D25" s="10"/>
      <c r="E25" s="10"/>
      <c r="F25" s="10"/>
      <c r="G25" s="22" t="s">
        <v>172</v>
      </c>
      <c r="H25" s="10"/>
      <c r="I25" s="24" t="s">
        <v>172</v>
      </c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22" t="s">
        <v>52</v>
      </c>
      <c r="H26" s="10"/>
      <c r="I26" s="24" t="s">
        <v>52</v>
      </c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22"/>
      <c r="H27" s="10"/>
      <c r="I27" s="23"/>
      <c r="J27" s="10"/>
      <c r="K27" s="10"/>
      <c r="L27" s="10"/>
      <c r="M27" s="10"/>
      <c r="N27" s="10"/>
    </row>
    <row r="28" spans="1:14" ht="39.5" customHeight="1">
      <c r="A28" s="12" t="s">
        <v>80</v>
      </c>
      <c r="B28" s="10"/>
      <c r="C28" s="10"/>
      <c r="D28" s="10"/>
      <c r="E28" s="10"/>
      <c r="F28" s="10"/>
      <c r="G28" s="22" t="s">
        <v>173</v>
      </c>
      <c r="H28" s="10"/>
      <c r="I28" s="24" t="s">
        <v>173</v>
      </c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22"/>
      <c r="H29" s="10"/>
      <c r="I29" s="23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22" t="s">
        <v>52</v>
      </c>
      <c r="H30" s="10"/>
      <c r="I30" s="24" t="s">
        <v>52</v>
      </c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22"/>
      <c r="H31" s="10"/>
      <c r="I31" s="23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22"/>
      <c r="H32" s="10"/>
      <c r="I32" s="23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22"/>
      <c r="H33" s="10"/>
      <c r="I33" s="23"/>
      <c r="J33" s="10"/>
      <c r="K33" s="10"/>
      <c r="L33" s="10"/>
      <c r="M33" s="10"/>
      <c r="N33" s="10"/>
    </row>
    <row r="34" spans="1:14" ht="31.25" customHeight="1">
      <c r="A34" s="17" t="s">
        <v>86</v>
      </c>
      <c r="B34" s="10"/>
      <c r="C34" s="10"/>
      <c r="D34" s="10"/>
      <c r="E34" s="10"/>
      <c r="F34" s="10"/>
      <c r="G34" s="22" t="s">
        <v>174</v>
      </c>
      <c r="H34" s="10"/>
      <c r="I34" s="23" t="s">
        <v>174</v>
      </c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22"/>
      <c r="H35" s="10"/>
      <c r="I35" s="23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22"/>
      <c r="H36" s="10"/>
      <c r="I36" s="23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22"/>
      <c r="H37" s="10"/>
      <c r="I37" s="23"/>
      <c r="J37" s="10"/>
      <c r="K37" s="10"/>
      <c r="L37" s="10"/>
      <c r="M37" s="10"/>
      <c r="N37" s="10"/>
    </row>
    <row r="38" spans="1:14" ht="124.75" customHeight="1">
      <c r="A38" s="19" t="s">
        <v>91</v>
      </c>
      <c r="B38" s="10"/>
      <c r="C38" s="10"/>
      <c r="D38" s="10"/>
      <c r="E38" s="10"/>
      <c r="F38" s="10"/>
      <c r="G38" s="22" t="s">
        <v>175</v>
      </c>
      <c r="H38" s="10"/>
      <c r="I38" s="23" t="s">
        <v>175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24"/>
      <c r="H39" s="10"/>
      <c r="I39" s="23"/>
      <c r="J39" s="10"/>
      <c r="K39" s="10"/>
      <c r="L39" s="10"/>
      <c r="M39" s="10"/>
      <c r="N39" s="10"/>
    </row>
    <row r="40" spans="1:14" ht="124.75" customHeight="1">
      <c r="A40" s="21" t="s">
        <v>94</v>
      </c>
      <c r="B40" s="10"/>
      <c r="C40" s="10"/>
      <c r="D40" s="10"/>
      <c r="E40" s="10"/>
      <c r="F40" s="10"/>
      <c r="G40" s="24" t="s">
        <v>175</v>
      </c>
      <c r="H40" s="10"/>
      <c r="I40" s="23" t="s">
        <v>175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50"/>
  </sheetPr>
  <dimension ref="A1:N40"/>
  <sheetViews>
    <sheetView zoomScale="70" zoomScaleNormal="70" workbookViewId="0">
      <selection activeCell="J30" sqref="J30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176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72" customHeight="1">
      <c r="A6" s="12" t="s">
        <v>50</v>
      </c>
      <c r="B6" s="10"/>
      <c r="C6" s="10"/>
      <c r="D6" s="10"/>
      <c r="E6" s="10"/>
      <c r="F6" s="10"/>
      <c r="G6" s="11" t="s">
        <v>177</v>
      </c>
      <c r="H6" s="10"/>
      <c r="I6" s="11" t="s">
        <v>178</v>
      </c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72" customHeight="1">
      <c r="A9" s="12" t="s">
        <v>54</v>
      </c>
      <c r="B9" s="10"/>
      <c r="C9" s="10"/>
      <c r="D9" s="10"/>
      <c r="E9" s="10"/>
      <c r="F9" s="10"/>
      <c r="G9" s="11" t="s">
        <v>179</v>
      </c>
      <c r="H9" s="10"/>
      <c r="I9" s="11" t="s">
        <v>180</v>
      </c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 t="s">
        <v>52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 t="s">
        <v>181</v>
      </c>
      <c r="H17" s="10"/>
      <c r="I17" s="11" t="s">
        <v>181</v>
      </c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54" customHeight="1">
      <c r="A38" s="19" t="s">
        <v>91</v>
      </c>
      <c r="B38" s="10"/>
      <c r="C38" s="10"/>
      <c r="D38" s="10"/>
      <c r="E38" s="10"/>
      <c r="F38" s="10"/>
      <c r="G38" s="11" t="s">
        <v>182</v>
      </c>
      <c r="H38" s="10"/>
      <c r="I38" s="11" t="s">
        <v>52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54" customHeight="1">
      <c r="A40" s="21" t="s">
        <v>94</v>
      </c>
      <c r="B40" s="10"/>
      <c r="C40" s="10"/>
      <c r="D40" s="10"/>
      <c r="E40" s="10"/>
      <c r="F40" s="10"/>
      <c r="G40" s="11" t="s">
        <v>182</v>
      </c>
      <c r="H40" s="10"/>
      <c r="I40" s="11" t="s">
        <v>52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B050"/>
  </sheetPr>
  <dimension ref="A1:N40"/>
  <sheetViews>
    <sheetView zoomScale="70" zoomScaleNormal="70" workbookViewId="0">
      <selection activeCell="I23" sqref="I23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183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>
      <c r="A3" s="9" t="s">
        <v>45</v>
      </c>
      <c r="B3" s="10"/>
      <c r="C3" s="10"/>
      <c r="D3" s="10"/>
      <c r="E3" s="10"/>
      <c r="F3" s="10"/>
      <c r="G3" s="11" t="s">
        <v>184</v>
      </c>
      <c r="H3" s="10"/>
      <c r="I3" s="11" t="s">
        <v>185</v>
      </c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 t="s">
        <v>52</v>
      </c>
      <c r="H18" s="10"/>
      <c r="I18" s="11" t="s">
        <v>185</v>
      </c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08" customHeight="1">
      <c r="A38" s="19" t="s">
        <v>91</v>
      </c>
      <c r="B38" s="10"/>
      <c r="C38" s="10"/>
      <c r="D38" s="10"/>
      <c r="E38" s="10"/>
      <c r="F38" s="10"/>
      <c r="G38" s="11" t="s">
        <v>186</v>
      </c>
      <c r="H38" s="10"/>
      <c r="I38" s="11" t="s">
        <v>185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08" customHeight="1">
      <c r="A40" s="21" t="s">
        <v>94</v>
      </c>
      <c r="B40" s="10"/>
      <c r="C40" s="10"/>
      <c r="D40" s="10"/>
      <c r="E40" s="10"/>
      <c r="F40" s="10"/>
      <c r="G40" s="11" t="s">
        <v>186</v>
      </c>
      <c r="H40" s="10"/>
      <c r="I40" s="11" t="s">
        <v>185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B050"/>
  </sheetPr>
  <dimension ref="A1:N40"/>
  <sheetViews>
    <sheetView zoomScale="70" zoomScaleNormal="70" workbookViewId="0">
      <selection activeCell="I28" sqref="I28"/>
    </sheetView>
  </sheetViews>
  <sheetFormatPr baseColWidth="10" defaultColWidth="9" defaultRowHeight="18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187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32</v>
      </c>
      <c r="B2" s="8" t="s">
        <v>33</v>
      </c>
      <c r="C2" s="8" t="s">
        <v>34</v>
      </c>
      <c r="D2" s="8" t="s">
        <v>35</v>
      </c>
      <c r="E2" s="8" t="s">
        <v>36</v>
      </c>
      <c r="F2" s="8" t="s">
        <v>37</v>
      </c>
      <c r="G2" s="8" t="s">
        <v>38</v>
      </c>
      <c r="H2" s="8" t="s">
        <v>39</v>
      </c>
      <c r="I2" s="8" t="s">
        <v>38</v>
      </c>
      <c r="J2" s="8" t="s">
        <v>40</v>
      </c>
      <c r="K2" s="8" t="s">
        <v>41</v>
      </c>
      <c r="L2" s="8" t="s">
        <v>42</v>
      </c>
      <c r="M2" s="8" t="s">
        <v>43</v>
      </c>
      <c r="N2" s="8" t="s">
        <v>44</v>
      </c>
    </row>
    <row r="3" spans="1:14" ht="36" customHeight="1">
      <c r="A3" s="9" t="s">
        <v>45</v>
      </c>
      <c r="B3" s="10"/>
      <c r="C3" s="10"/>
      <c r="D3" s="10"/>
      <c r="E3" s="10"/>
      <c r="F3" s="10"/>
      <c r="G3" s="11" t="s">
        <v>188</v>
      </c>
      <c r="H3" s="10"/>
      <c r="I3" s="11" t="s">
        <v>188</v>
      </c>
      <c r="J3" s="10"/>
      <c r="K3" s="10"/>
      <c r="L3" s="10"/>
      <c r="M3" s="10"/>
      <c r="N3" s="10"/>
    </row>
    <row r="4" spans="1:14">
      <c r="A4" s="12" t="s">
        <v>47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>
      <c r="A5" s="12" t="s">
        <v>49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>
      <c r="A6" s="12" t="s">
        <v>50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>
      <c r="A7" s="12" t="s">
        <v>51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>
      <c r="A8" s="12" t="s">
        <v>53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>
      <c r="A9" s="12" t="s">
        <v>54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>
      <c r="A10" s="12" t="s">
        <v>56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>
      <c r="A11" s="12" t="s">
        <v>57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>
      <c r="A12" s="12" t="s">
        <v>58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>
      <c r="A13" s="12" t="s">
        <v>59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>
      <c r="A14" s="12" t="s">
        <v>60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>
      <c r="A15" s="12" t="s">
        <v>61</v>
      </c>
      <c r="B15" s="10"/>
      <c r="C15" s="10"/>
      <c r="D15" s="10"/>
      <c r="E15" s="10"/>
      <c r="F15" s="10"/>
      <c r="G15" s="11" t="s">
        <v>52</v>
      </c>
      <c r="H15" s="10"/>
      <c r="I15" s="11" t="s">
        <v>52</v>
      </c>
      <c r="J15" s="10"/>
      <c r="K15" s="10"/>
      <c r="L15" s="10"/>
      <c r="M15" s="10"/>
      <c r="N15" s="10"/>
    </row>
    <row r="16" spans="1:14">
      <c r="A16" s="12" t="s">
        <v>63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>
      <c r="A17" s="13" t="s">
        <v>64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>
      <c r="A18" s="13" t="s">
        <v>66</v>
      </c>
      <c r="B18" s="10"/>
      <c r="C18" s="10"/>
      <c r="D18" s="10"/>
      <c r="E18" s="10"/>
      <c r="F18" s="10"/>
      <c r="G18" s="11" t="s">
        <v>52</v>
      </c>
      <c r="H18" s="10"/>
      <c r="I18" s="11" t="s">
        <v>52</v>
      </c>
      <c r="J18" s="10"/>
      <c r="K18" s="10"/>
      <c r="L18" s="10"/>
      <c r="M18" s="10"/>
      <c r="N18" s="10"/>
    </row>
    <row r="19" spans="1:14">
      <c r="A19" s="13" t="s">
        <v>68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>
      <c r="A20" s="13" t="s">
        <v>70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>
      <c r="A21" s="13" t="s">
        <v>71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>
      <c r="A22" s="13" t="s">
        <v>72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>
      <c r="A23" s="13" t="s">
        <v>73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>
      <c r="A24" s="13" t="s">
        <v>74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>
      <c r="A25" s="13" t="s">
        <v>76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>
      <c r="A26" s="13" t="s">
        <v>78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>
      <c r="A27" s="12" t="s">
        <v>79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>
      <c r="A28" s="12" t="s">
        <v>80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>
      <c r="A29" s="14" t="s">
        <v>81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>
      <c r="A30" s="15" t="s">
        <v>82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>
      <c r="A31" s="16" t="s">
        <v>83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>
      <c r="A32" s="17" t="s">
        <v>84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>
      <c r="A33" s="18" t="s">
        <v>85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>
      <c r="A34" s="17" t="s">
        <v>86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>
      <c r="A35" s="18" t="s">
        <v>88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>
      <c r="A36" s="18" t="s">
        <v>89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>
      <c r="A37" s="18" t="s">
        <v>90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6" customHeight="1">
      <c r="A38" s="19" t="s">
        <v>91</v>
      </c>
      <c r="B38" s="10"/>
      <c r="C38" s="10"/>
      <c r="D38" s="10"/>
      <c r="E38" s="10"/>
      <c r="F38" s="10"/>
      <c r="G38" s="11" t="s">
        <v>189</v>
      </c>
      <c r="H38" s="10"/>
      <c r="I38" s="11" t="s">
        <v>189</v>
      </c>
      <c r="J38" s="10"/>
      <c r="K38" s="10"/>
      <c r="L38" s="10"/>
      <c r="M38" s="10"/>
      <c r="N38" s="10"/>
    </row>
    <row r="39" spans="1:14">
      <c r="A39" s="20" t="s">
        <v>93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36" customHeight="1">
      <c r="A40" s="21" t="s">
        <v>94</v>
      </c>
      <c r="B40" s="10"/>
      <c r="C40" s="10"/>
      <c r="D40" s="10"/>
      <c r="E40" s="10"/>
      <c r="F40" s="10"/>
      <c r="G40" s="11" t="s">
        <v>189</v>
      </c>
      <c r="H40" s="10"/>
      <c r="I40" s="11" t="s">
        <v>189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"/>
  <sheetViews>
    <sheetView zoomScaleNormal="100" workbookViewId="0"/>
  </sheetViews>
  <sheetFormatPr baseColWidth="10" defaultColWidth="8.83203125" defaultRowHeight="14.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目录</vt:lpstr>
      <vt:lpstr>合计</vt:lpstr>
      <vt:lpstr>浙江销售分公司配餐业务</vt:lpstr>
      <vt:lpstr>浙江杭州销售分公司劳务输出_合并</vt:lpstr>
      <vt:lpstr>浙江杭州销售分公司劳务输出_222200150526</vt:lpstr>
      <vt:lpstr>浙江杭州销售分公司劳务输出_SH3B25Z076</vt:lpstr>
      <vt:lpstr>东北销售浙江宁波分公司配餐业务_合并</vt:lpstr>
      <vt:lpstr>东北销售浙江宁波分公司配餐业务_222200150527</vt:lpstr>
      <vt:lpstr>东北销售浙江宁波分公司配餐业务_SH3B26Z005</vt:lpstr>
      <vt:lpstr>东北销售浙江宁波分公司办公物业_合并</vt:lpstr>
      <vt:lpstr>东北销售浙江宁波分公司办公物业_222200150530</vt:lpstr>
      <vt:lpstr>东北销售浙江宁波分公司办公物业_SH3B26Z006</vt:lpstr>
      <vt:lpstr>浙江杭州地质研究院办公物业项目</vt:lpstr>
      <vt:lpstr>中石化天然气分公司浙江销售配餐项目_合并</vt:lpstr>
      <vt:lpstr>中石化天然气分公司浙江销售配餐项目_222200150535</vt:lpstr>
      <vt:lpstr>中石化天然气分公司浙江销售配餐项目_SH3B26Z002</vt:lpstr>
      <vt:lpstr>浙江杭州地质研究院配餐项目</vt:lpstr>
      <vt:lpstr>浙江绍兴销售分公司配餐劳务输出项目_合并</vt:lpstr>
      <vt:lpstr>浙江金华销售分公司配餐劳务输出项目_合并</vt:lpstr>
      <vt:lpstr>浙江金华销售分公司配餐劳务输出项目_222200150541</vt:lpstr>
      <vt:lpstr>浙江金华销售分公司配餐劳务输出项目_SH3B26Z004</vt:lpstr>
      <vt:lpstr>浙江湖州销售分公司配餐业务_合并</vt:lpstr>
      <vt:lpstr>浙江湖州销售分公司配餐业务_222200150542</vt:lpstr>
      <vt:lpstr>浙江湖州销售分公司配餐业务_SH3B26Z001</vt:lpstr>
      <vt:lpstr>黄山阳光酒店分公司</vt:lpstr>
      <vt:lpstr>黄山项目部销售项目</vt:lpstr>
      <vt:lpstr>东北销售宁波分计量项目</vt:lpstr>
      <vt:lpstr>浙江衢州销售分公司配餐劳务项目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2026-07-20T08:17:00Z</dcterms:created>
  <dcterms:modified xsi:type="dcterms:W3CDTF">2026-08-07T02:03:47Z</dcterms:modified>
</cp:coreProperties>
</file>