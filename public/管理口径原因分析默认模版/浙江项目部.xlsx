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488" windowHeight="9347" activeTab="1"/>
  </bookViews>
  <sheets>
    <sheet sheetId="2" name="目录" state="visible" r:id="rId4"/>
    <sheet sheetId="3" name="合计" state="visible" r:id="rId5"/>
    <sheet sheetId="4" name="浙江销售分公司配餐业务" state="visible" r:id="rId6"/>
    <sheet sheetId="5" name="浙江湖州销售分公司配餐业务_合并" state="visible" r:id="rId7"/>
    <sheet sheetId="6" name="浙江湖州销售分公司配餐业务_222200150510" state="visible" r:id="rId8"/>
    <sheet sheetId="7" name="浙江湖州销售分公司配餐业务_222200150542" state="visible" r:id="rId9"/>
    <sheet sheetId="8" name="浙江湖州销售分公司配餐业务_SH3B26Z001" state="visible" r:id="rId10"/>
    <sheet sheetId="9" name="浙江杭州销售分公司劳务输出_合并" state="visible" r:id="rId11"/>
    <sheet sheetId="10" name="浙江杭州销售分公司劳务输出_222200150526" state="visible" r:id="rId12"/>
    <sheet sheetId="11" name="浙江杭州销售分公司劳务输出_SH3B25Z076" state="visible" r:id="rId13"/>
    <sheet sheetId="12" name="东北销售浙江宁波分公司配餐业务_合并" state="visible" r:id="rId14"/>
    <sheet sheetId="13" name="东北销售浙江宁波分公司配餐业务_222200150527" state="visible" r:id="rId15"/>
    <sheet sheetId="14" name="东北销售浙江宁波分公司配餐业务_SH3B26Z005" state="visible" r:id="rId16"/>
    <sheet sheetId="15" name="东北销售浙江宁波分公司办公物业_合并" state="visible" r:id="rId17"/>
    <sheet sheetId="16" name="东北销售浙江宁波分公司办公物业_222200150530" state="visible" r:id="rId18"/>
    <sheet sheetId="17" name="东北销售浙江宁波分公司办公物业_SH3B26Z006" state="visible" r:id="rId19"/>
    <sheet sheetId="18" name="浙江杭州地质研究院办公物业项目" state="visible" r:id="rId20"/>
    <sheet sheetId="19" name="中石化天然气分公司浙江销售配餐项目_合并" state="visible" r:id="rId21"/>
    <sheet sheetId="20" name="中石化天然气分公司浙江销售配餐项目_222200150535" state="visible" r:id="rId22"/>
    <sheet sheetId="21" name="中石化天然气分公司浙江销售配餐项目_SH3B26Z002" state="visible" r:id="rId23"/>
    <sheet sheetId="22" name="浙江杭州地质研究院配餐项目" state="visible" r:id="rId24"/>
    <sheet sheetId="23" name="浙江绍兴销售分公司配餐劳务输出项目_合并" state="visible" r:id="rId25"/>
    <sheet sheetId="24" name="浙江绍兴销售分公司配餐劳务输出项目_222200150540" state="visible" r:id="rId26"/>
    <sheet sheetId="25" name="浙江绍兴销售分公司配餐劳务输出项目_SH3B26Z008" state="visible" r:id="rId27"/>
    <sheet sheetId="26" name="浙江金华销售分公司配餐劳务输出项目_合并" state="visible" r:id="rId28"/>
    <sheet sheetId="27" name="浙江金华销售分公司配餐劳务输出项目_222200150541" state="visible" r:id="rId29"/>
    <sheet sheetId="28" name="浙江金华销售分公司配餐劳务输出项目_SH3B26Z004" state="visible" r:id="rId30"/>
    <sheet sheetId="29" name="黄山阳光酒店分公司" state="visible" r:id="rId31"/>
    <sheet sheetId="30" name="黄山项目部销售项目" state="visible" r:id="rId32"/>
    <sheet sheetId="31" name="东北销售宁波分计量项目" state="visible" r:id="rId33"/>
    <sheet sheetId="32" name="浙江衢州销售分公司配餐劳务项目" state="visible" r:id="rId34"/>
  </sheets>
  <calcPr calcId="171027"/>
</workbook>
</file>

<file path=xl/sharedStrings.xml><?xml version="1.0" encoding="utf-8"?>
<sst xmlns="http://schemas.openxmlformats.org/spreadsheetml/2006/main" count="1993" uniqueCount="218">
  <si>
    <t>工作表目录</t>
  </si>
  <si>
    <t>序号</t>
  </si>
  <si>
    <t>工作表名称</t>
  </si>
  <si>
    <t>快捷跳转</t>
  </si>
  <si>
    <t>合计</t>
  </si>
  <si>
    <t>浙江销售分公司配餐业务</t>
  </si>
  <si>
    <t>浙江湖州销售分公司配餐业务_合并</t>
  </si>
  <si>
    <t>浙江湖州销售分公司配餐业务_222200150510</t>
  </si>
  <si>
    <t>浙江湖州销售分公司配餐业务_222200150542</t>
  </si>
  <si>
    <t>浙江湖州销售分公司配餐业务_SH3B26Z001</t>
  </si>
  <si>
    <t>浙江杭州销售分公司劳务输出_合并</t>
  </si>
  <si>
    <t>浙江杭州销售分公司劳务输出_222200150526</t>
  </si>
  <si>
    <t>浙江杭州销售分公司劳务输出_SH3B25Z076</t>
  </si>
  <si>
    <t>东北销售浙江宁波分公司配餐业务_合并</t>
  </si>
  <si>
    <t>东北销售浙江宁波分公司配餐业务_222200150527</t>
  </si>
  <si>
    <t>东北销售浙江宁波分公司配餐业务_SH3B26Z005</t>
  </si>
  <si>
    <t>东北销售浙江宁波分公司办公物业_合并</t>
  </si>
  <si>
    <t>东北销售浙江宁波分公司办公物业_222200150530</t>
  </si>
  <si>
    <t>东北销售浙江宁波分公司办公物业_SH3B26Z006</t>
  </si>
  <si>
    <t>浙江杭州地质研究院办公物业项目</t>
  </si>
  <si>
    <t>中石化天然气分公司浙江销售配餐项目_合并</t>
  </si>
  <si>
    <t>中石化天然气分公司浙江销售配餐项目_222200150535</t>
  </si>
  <si>
    <t>中石化天然气分公司浙江销售配餐项目_SH3B26Z002</t>
  </si>
  <si>
    <t>浙江杭州地质研究院配餐项目</t>
  </si>
  <si>
    <t>浙江绍兴销售分公司配餐劳务输出项目_合并</t>
  </si>
  <si>
    <t>浙江绍兴销售分公司配餐劳务输出项目_222200150540</t>
  </si>
  <si>
    <t>浙江绍兴销售分公司配餐劳务输出项目_SH3B26Z008</t>
  </si>
  <si>
    <t>浙江金华销售分公司配餐劳务输出项目_合并</t>
  </si>
  <si>
    <t>浙江金华销售分公司配餐劳务输出项目_222200150541</t>
  </si>
  <si>
    <t>浙江金华销售分公司配餐劳务输出项目_SH3B26Z004</t>
  </si>
  <si>
    <t>黄山阳光酒店分公司</t>
  </si>
  <si>
    <t>黄山项目部销售项目</t>
  </si>
  <si>
    <t>东北销售宁波分计量项目</t>
  </si>
  <si>
    <t>浙江衢州销售分公司配餐劳务项目</t>
  </si>
  <si>
    <t>合计预算执行分析（2026年08月）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</si>
  <si>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</si>
  <si>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</si>
  <si>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</si>
  <si>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</si>
  <si>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</si>
  <si>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</si>
  <si>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</si>
  <si>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</si>
  <si>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</si>
  <si>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</si>
  <si>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</si>
  <si>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</si>
  <si>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</si>
  <si>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</si>
  <si>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>本年黄山租赁项目免三个月租金去年免两个月租赁，另新增衢州项目收入</t>
  </si>
  <si>
    <t xml:space="preserve">     减:（一）经营性采购支出</t>
  </si>
  <si>
    <t>浙江销售桌餐增加，员工加班费增加及食材成本增加福利套餐，成本费用相对增加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</si>
  <si>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</si>
  <si>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</si>
  <si>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</si>
  <si>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>正常核算</t>
  </si>
  <si>
    <t xml:space="preserve">                      （3）油气管材</t>
  </si>
  <si>
    <t xml:space="preserve">                      （4）其他材料</t>
  </si>
  <si>
    <t>黄山销售预算初期将预算放入此科目，故调整后正常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</si>
  <si>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</si>
  <si>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</si>
  <si>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</si>
  <si>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</si>
  <si>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 xml:space="preserve">        （二）运输费</t>
  </si>
  <si>
    <t xml:space="preserve">        （三）经营性税费</t>
  </si>
  <si>
    <t>正常税费计提</t>
  </si>
  <si>
    <t xml:space="preserve">        （四）油气分成支出</t>
  </si>
  <si>
    <t xml:space="preserve">        （五）用工薪酬成本</t>
  </si>
  <si>
    <t>换外包劳务支出</t>
  </si>
  <si>
    <t xml:space="preserve">        （六）外包劳务支出</t>
  </si>
  <si>
    <t>本年度使用此项支出成本</t>
  </si>
  <si>
    <t xml:space="preserve">        （七）维修费</t>
  </si>
  <si>
    <t>浙光销售上报甲方维修才会产生</t>
  </si>
  <si>
    <t xml:space="preserve">        （八）租赁费</t>
  </si>
  <si>
    <t xml:space="preserve">        （九）物业采暖费</t>
  </si>
  <si>
    <t>去年同期无</t>
  </si>
  <si>
    <t xml:space="preserve">        （十）绿化环境卫生费</t>
  </si>
  <si>
    <t>甲方延展服务正常核算</t>
  </si>
  <si>
    <t xml:space="preserve">        （十一）五项费用</t>
  </si>
  <si>
    <t>日常正常出差费用</t>
  </si>
  <si>
    <t xml:space="preserve">        （十二）财产性税费(房产、土地）</t>
  </si>
  <si>
    <t>去年同期免两个月租赁，一个月从价计征，本年免三个月租赁，三个月从价计征房产税故有所增加</t>
  </si>
  <si>
    <t xml:space="preserve">        （十三）折旧折耗及摊销</t>
  </si>
  <si>
    <t>黄山租赁项目正常计提折旧，去年年底增加两台电脑，故今年折旧费用较同期有所增加</t>
  </si>
  <si>
    <t xml:space="preserve">        （十四）其他固定成本</t>
  </si>
  <si>
    <t>正常商旅服务费核算</t>
  </si>
  <si>
    <t xml:space="preserve">        （十五）行政性罚款</t>
  </si>
  <si>
    <t xml:space="preserve">        （十六）信用减值损失</t>
  </si>
  <si>
    <t>去年只有部分应收账款，随业务不断扩大，应收款逐渐增多，故信用减值损失计提增加 正常核算</t>
  </si>
  <si>
    <t xml:space="preserve">        （十七）存货差额调整</t>
  </si>
  <si>
    <t xml:space="preserve">        （十八）财务费用（收益为“-”）</t>
  </si>
  <si>
    <r>
      <rPr>
        <charset val="134"/>
        <color indexed="8"/>
        <sz val="14"/>
        <rFont val="方正仿宋_GBK"/>
      </rPr>
      <t xml:space="preserve">                      其中：</t>
    </r>
    <r>
      <rPr>
        <charset val="134"/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</si>
  <si>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</si>
  <si>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</si>
  <si>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</si>
  <si>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>去年同期物品过期报损今年无</t>
  </si>
  <si>
    <t xml:space="preserve">        （二十二）投资收益（收益为“-”）</t>
  </si>
  <si>
    <t xml:space="preserve">        （二十三）其他收益（收益为“-”）</t>
  </si>
  <si>
    <t>个税手续费返还，正常核算</t>
  </si>
  <si>
    <t xml:space="preserve">        （二十四）其他非经常性损益（收益为“-”）</t>
  </si>
  <si>
    <t>二、利润总额</t>
  </si>
  <si>
    <t xml:space="preserve">1-8月浙江项目部实现营业收入1132.23万元，完成进度预算989.1万元的100.14%。四个业务板块中，除餐饮业务外，均完成进度预算。1-8月浙江项目部营业收入较上年同期917.87万元增加214.36万元，租赁业务收入同比下降，主要系本年度多一个月免租期所致，其它三个业务版块同比均有增加，其中增幅最大为物业业务105.22万元。
1-8月浙江项目部实现净利润178.65万元，完成进度预算117.73万元的151.75％，除餐业务外均有不同幅度增加。其中完成进度利润预算项目11个、未完成5个。1-8月浙江项目部净利润178.65万元，较2025年同期179.07万元减少0.42万元。其中，租赁业务利润较同期减少56.37万元，其它13个项目利润均有增加。</t>
  </si>
  <si>
    <t>三、所得税费用</t>
  </si>
  <si>
    <t>四、净利润</t>
  </si>
  <si>
    <t>浙江销售分公司配餐业务预算执行分析（2026年08月）</t>
  </si>
  <si>
    <t>1-8月销售收入比同期有增长</t>
  </si>
  <si>
    <t>桌餐增加，员工加班费增加及食材成本增加福利套餐，成本费用相对增加</t>
  </si>
  <si>
    <t>2月份及5月份发放业主方团购福利套餐，食材成本费用相对增加。</t>
  </si>
  <si>
    <t>此项目为季度结算，二季度收入为预估收入，与实际结算有出入。</t>
  </si>
  <si>
    <t>上报甲方维修才会产生</t>
  </si>
  <si>
    <t>清洗油烟机费用已完成两季度</t>
  </si>
  <si>
    <t>去年同期有差旅费用今年无</t>
  </si>
  <si>
    <t>1-8月销售收入比同期有增长，成本相应有增加，利润有所增加，主要原因1、2月份及5月份发放甲方团购福利套餐，食材成本费用相对增加。2.春节前应甲方要求开展美食节，用餐人数增加，造成食材成本费用增加。3.后续严格管控食材成本，降本增效，提升对标利润率。此项目为季度结算，7-8月收入为预估收入，与实际结算有出入。</t>
  </si>
  <si>
    <t>浙江湖州销售分公司配餐业务_合并预算执行分析（2026年08月）</t>
  </si>
  <si>
    <t>完成进度预算</t>
  </si>
  <si>
    <t>去年有其他食材成本，今年无。</t>
  </si>
  <si>
    <t>正常税款计提</t>
  </si>
  <si>
    <t>转入外包劳务支出</t>
  </si>
  <si>
    <t>正常差旅费用核算</t>
  </si>
  <si>
    <t>正常的商旅服务费核算</t>
  </si>
  <si>
    <t>1-8月销售收入小幅增长，成本基本持平，导致利润也相应有所增加，其原因为：浙江湖州销售分公司配餐业务0031停掉后只经营劳务业务，故减少。</t>
  </si>
  <si>
    <t>浙江湖州销售分公司配餐业务_222200150510预算执行分析（2026年08月）</t>
  </si>
  <si>
    <t>浙江湖州销售分公司配餐业务_222200150542预算执行分析（2026年08月）</t>
  </si>
  <si>
    <t>浙江湖州销售分公司配餐业务_SH3B26Z001预算执行分析（2026年08月）</t>
  </si>
  <si>
    <t>浙江杭州销售分公司劳务输出_合并预算执行分析（2026年08月）</t>
  </si>
  <si>
    <t>此项目为季度结算，7-8月收入为预估收入，比去年同期有所增加</t>
  </si>
  <si>
    <t>本年度该项改为外包劳务支出</t>
  </si>
  <si>
    <t>本年度该项支出</t>
  </si>
  <si>
    <t>去年同期有出差费用今年无</t>
  </si>
  <si>
    <t>1-8月收入较同期有所增加，成本有所减少。利润有所增加，主要原因是收入增加</t>
  </si>
  <si>
    <t>浙江杭州销售分公司劳务输出_222200150526预算执行分析（2026年08月）</t>
  </si>
  <si>
    <t>浙江杭州销售分公司劳务输出_SH3B25Z076预算执行分析（2026年08月）</t>
  </si>
  <si>
    <t>东北销售浙江宁波分公司配餐业务_合并预算执行分析（2026年08月）</t>
  </si>
  <si>
    <t>今年用餐人数增加收入有所增加，食材费用随之增加，与该项目据实结算。</t>
  </si>
  <si>
    <t>用餐人数增加，食材费用随之增加</t>
  </si>
  <si>
    <t>该项目1-8月收入比去年同期有所增加，同时成本却比去年同期期有所增加，故利润有所增加，正常核算</t>
  </si>
  <si>
    <t>东北销售浙江宁波分公司配餐业务_222200150527预算执行分析（2026年08月）</t>
  </si>
  <si>
    <t>需要和常州合并来分析</t>
  </si>
  <si>
    <t>东北销售浙江宁波分公司配餐业务_SH3B26Z005预算执行分析（2026年08月）</t>
  </si>
  <si>
    <t>东北销售浙江宁波分公司办公物业_合并预算执行分析（2026年08月）</t>
  </si>
  <si>
    <t>合同的物业费增加，故收入有所增加</t>
  </si>
  <si>
    <t>物业费增加，故收入有所增加</t>
  </si>
  <si>
    <t>员工全年上班，产生节假日加班费</t>
  </si>
  <si>
    <t>去年同期有出差费用今年也有，正常核算</t>
  </si>
  <si>
    <t>该项目1-8月收入，成本，利润有小幅增长。</t>
  </si>
  <si>
    <t>东北销售浙江宁波分公司办公物业_222200150530预算执行分析（2026年08月）</t>
  </si>
  <si>
    <t>东北销售浙江宁波分公司办公物业_SH3B26Z006预算执行分析（2026年08月）</t>
  </si>
  <si>
    <t>已达标，继续保持</t>
  </si>
  <si>
    <t>浙江杭州地质研究院办公物业项目预算执行分析（2026年08月）</t>
  </si>
  <si>
    <t>物业费增加以及延展服务增加，且收入增加</t>
  </si>
  <si>
    <t>人员增加</t>
  </si>
  <si>
    <t>去年同期有，今年无</t>
  </si>
  <si>
    <t>该项目部1-8月收入较去年同期大幅增加，利润也相应大幅增加主要原因为，今年1-8月的人工成本较去年小幅增长，但收入相应增加了许多。故利润有大幅增加。</t>
  </si>
  <si>
    <t>中石化天然气分公司浙江销售配餐项目_合并预算执行分析（2026年08月）</t>
  </si>
  <si>
    <t>与去年同期相比。收入有小幅增加，目前运行稳定</t>
  </si>
  <si>
    <t>去年有零星食材采购今年无</t>
  </si>
  <si>
    <t>去年有零星费用发生，今年无</t>
  </si>
  <si>
    <t>去年有无零星费用发生，今年零星费用发生</t>
  </si>
  <si>
    <t>该项目1-8月利润上升的原因，主要是今年1-7月，人工成本有所减少</t>
  </si>
  <si>
    <t>中石化天然气分公司浙江销售配餐项目_222200150535预算执行分析（2026年08月）</t>
  </si>
  <si>
    <t>中石化天然气分公司浙江销售配餐项目_SH3B26Z002预算执行分析（2026年08月）</t>
  </si>
  <si>
    <t>浙江杭州地质研究院配餐项目预算执行分析（2026年08月）</t>
  </si>
  <si>
    <t>主要原因是收支结算周期不同导致，又因该项目是薪酬制，业主方力求服务好员工，故而压缩餐饮合同利润空间，所有损失在物业合同弥补。截止8月份末，餐卡余额同比增加，也影响本期利润。</t>
  </si>
  <si>
    <t>业主方力求服务好员工，故而压缩餐饮合同利润空间，所有损失在物业合同弥补。</t>
  </si>
  <si>
    <t>基本正常</t>
  </si>
  <si>
    <t>去年有部分人工在配餐今年转至物业</t>
  </si>
  <si>
    <t>正常的商旅费用核算</t>
  </si>
  <si>
    <t>主要原因是收支结算周期不同导致，又因该项目是薪酬制，业主方力求服务好员工，故而压缩餐饮合同利润空间，所有损失在物业合同弥补。截止8月份末，餐卡余额同比增加，也影响本期利润。较去年同期有所增加</t>
  </si>
  <si>
    <t>浙江绍兴销售分公司配餐劳务输出项目_合并预算执行分析（2026年08月）</t>
  </si>
  <si>
    <t>与上期基本平行，收入有小幅增加，运行稳定</t>
  </si>
  <si>
    <t>正常核算，本年无，同期有差旅费</t>
  </si>
  <si>
    <t>该项目1-8月收入、成本、利润与去年同期有小幅增加，已达标，继续保持</t>
  </si>
  <si>
    <t>浙江绍兴销售分公司配餐劳务输出项目_222200150540预算执行分析（2026年08月）</t>
  </si>
  <si>
    <t>与上期基本平行，收入有小幅减少需要同常州合并来分析，运行稳定</t>
  </si>
  <si>
    <t>该项目1-8月收入、成本、利润与去年同期有小幅减少，需要 和常州核算合并来分析</t>
  </si>
  <si>
    <t>浙江绍兴销售分公司配餐劳务输出项目_SH3B26Z008预算执行分析（2026年08月）</t>
  </si>
  <si>
    <t>浙江金华销售分公司配餐劳务输出项目_合并预算执行分析（2026年08月）</t>
  </si>
  <si>
    <t>超过进度预算，加班费收入有所增加</t>
  </si>
  <si>
    <t>完成进度预算，加班费收入有所增加</t>
  </si>
  <si>
    <t>该项目1-8月收入、成本、利润与去年同期收入有所增加，主要是人工成本有所增加</t>
  </si>
  <si>
    <t>浙江金华销售分公司配餐劳务输出项目_222200150541预算执行分析（2026年08月）</t>
  </si>
  <si>
    <t>浙江金华销售分公司配餐劳务输出项目_SH3B26Z004预算执行分析（2026年08月）</t>
  </si>
  <si>
    <t>黄山阳光酒店分公司预算执行分析（2026年08月）</t>
  </si>
  <si>
    <t>今年免租期较同期增加1个月，收入有所减少。</t>
  </si>
  <si>
    <t>上半年严控成本支出</t>
  </si>
  <si>
    <t>1-8月严控成本支出车辆燃油费等实际发生较预算减少。</t>
  </si>
  <si>
    <t>1-8严控成本支出车辆燃油费等实际发生较预算减少。</t>
  </si>
  <si>
    <t>暂未发生</t>
  </si>
  <si>
    <t>较去年同期减少一个月租金</t>
  </si>
  <si>
    <t>较去年同期相关人员下沉到项目部人工成本增加</t>
  </si>
  <si>
    <t>上半年严控人工成本，社保等年初有所减少</t>
  </si>
  <si>
    <t>上半年严控成本支出维修费暂未发生</t>
  </si>
  <si>
    <t>新项目增加，差旅费用有所增加</t>
  </si>
  <si>
    <t>新项目增加，差旅费用有所增加，较预算有所减少</t>
  </si>
  <si>
    <t>房产税按从价方式计征较去年多1个月，增加成本约13万；</t>
  </si>
  <si>
    <t>2025年末增加两台电脑，2026年折旧额增加</t>
  </si>
  <si>
    <t>2026年配餐及物业项目增加，应收账款增加，故信用减值损失计提额增加</t>
  </si>
  <si>
    <t>去年有物品过期报损，今年无</t>
  </si>
  <si>
    <t>个税返还款</t>
  </si>
  <si>
    <t>利润减少原因：收入方面今年免租期较同期增加1个月，收入减少。成本方面1.房产税按从价方式计征较去年多1个月，增加成本约13万；2.相关人员下沉人工成本增加。</t>
  </si>
  <si>
    <t>黄山项目部销售项目预算执行分析（2026年08月）</t>
  </si>
  <si>
    <t>因销售具有不确定性，今年客户增加，销售额有所提升。</t>
  </si>
  <si>
    <t>成本随销售额增加而增加，正常核算</t>
  </si>
  <si>
    <t>去年同期产品销售较少</t>
  </si>
  <si>
    <t>预算之初放到其他材料里，需要与其他材料预算汇总来分析，目前正常</t>
  </si>
  <si>
    <t>产品销售业务增加，收入同步增长。</t>
  </si>
  <si>
    <t>预算之初放到其他材料里，需要与食材耗用预算汇总来分析，目前正常</t>
  </si>
  <si>
    <t>正常计提税费</t>
  </si>
  <si>
    <t>销售提成款</t>
  </si>
  <si>
    <t>产品销售业务增加，收入和利润同步增长。未达全年预算，还有9月月饼销售</t>
  </si>
  <si>
    <t>东北销售宁波分计量项目预算执行分析（2026年08月）</t>
  </si>
  <si>
    <t>已完成</t>
  </si>
  <si>
    <t>目前此项目已终止</t>
  </si>
  <si>
    <t>分析：该项目1-8月收入、成本、利润核算正常</t>
  </si>
  <si>
    <t>浙江衢州销售分公司配餐劳务项目预算执行分析（2026年08月）</t>
  </si>
  <si>
    <t>该项目自4月起启动，运行相对稳定</t>
  </si>
  <si>
    <t>正常出差费用</t>
  </si>
  <si>
    <t>因新项目无同期比较，目前利润正常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</si>
</sst>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charset val="134"/>
      <sz val="16"/>
      <name val="方正仿宋_GBK"/>
    </font>
    <font>
      <b/>
      <charset val="134"/>
      <sz val="12"/>
      <name val="方正仿宋_GBK"/>
    </font>
    <font>
      <charset val="134"/>
      <sz val="11"/>
      <name val="方正仿宋_GBK"/>
    </font>
    <font>
      <u/>
      <charset val="134"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宋体"/>
    </font>
    <font>
      <b/>
      <charset val="134"/>
      <color theme="1"/>
      <sz val="14"/>
      <name val="方正仿宋_GBK"/>
    </font>
    <font>
      <b/>
      <charset val="134"/>
      <sz val="14"/>
      <name val="方正仿宋_GBK"/>
    </font>
    <font>
      <charset val="134"/>
      <color theme="1"/>
      <sz val="14"/>
      <name val="方正仿宋_GBK"/>
    </font>
    <font>
      <charset val="134"/>
      <sz val="14"/>
      <name val="方正仿宋_GBK"/>
    </font>
    <font>
      <charset val="134"/>
      <color indexed="8"/>
      <sz val="14"/>
      <name val="方正仿宋_GBK"/>
    </font>
    <font>
      <b/>
      <charset val="134"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 zoomScale="100" zoomScaleNormal="100">
      <selection activeCell="C32" sqref="C32"/>
    </sheetView>
  </sheetViews>
  <sheetFormatPr defaultRowHeight="14.4" outlineLevelRow="0" outlineLevelCol="2" x14ac:dyDescent="0" defaultColWidth="9" customHeight="1"/>
  <cols>
    <col min="1" max="1" width="10" customWidth="1"/>
    <col min="2" max="2" width="46.555555555555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>
        <f>HYPERLINK("#'合计'!A1","点击跳转 ➔")</f>
        <v>0</v>
      </c>
    </row>
    <row r="4" ht="22" customHeight="1" spans="1:3" x14ac:dyDescent="0.25">
      <c r="A4" s="3"/>
      <c r="B4" s="4" t="s">
        <v>5</v>
      </c>
      <c r="C4" s="5">
        <f>HYPERLINK("#'浙江销售分公司配餐业务'!A1","点击跳转 ➔")</f>
        <v>0</v>
      </c>
    </row>
    <row r="5" ht="22" customHeight="1" spans="1:3" x14ac:dyDescent="0.25">
      <c r="A5" s="3"/>
      <c r="B5" s="4" t="s">
        <v>6</v>
      </c>
      <c r="C5" s="5">
        <f>HYPERLINK("#'浙江湖州销售分公司配餐业务_合并'!A1","点击跳转 ➔")</f>
        <v>0</v>
      </c>
    </row>
    <row r="6" ht="22" customHeight="1" spans="1:3" x14ac:dyDescent="0.25">
      <c r="A6" s="3"/>
      <c r="B6" s="4" t="s">
        <v>7</v>
      </c>
      <c r="C6" s="5">
        <f>HYPERLINK("#'浙江湖州销售分公司配餐业务_222200150510'!A1","点击跳转 ➔")</f>
        <v>0</v>
      </c>
    </row>
    <row r="7" ht="22" customHeight="1" spans="1:3" x14ac:dyDescent="0.25">
      <c r="A7" s="3"/>
      <c r="B7" s="4" t="s">
        <v>8</v>
      </c>
      <c r="C7" s="5">
        <f>HYPERLINK("#'浙江湖州销售分公司配餐业务_222200150542'!A1","点击跳转 ➔")</f>
        <v>0</v>
      </c>
    </row>
    <row r="8" ht="22" customHeight="1" spans="1:3" x14ac:dyDescent="0.25">
      <c r="A8" s="3"/>
      <c r="B8" s="4" t="s">
        <v>9</v>
      </c>
      <c r="C8" s="5">
        <f>HYPERLINK("#'浙江湖州销售分公司配餐业务_SH3B26Z001'!A1","点击跳转 ➔")</f>
        <v>0</v>
      </c>
    </row>
    <row r="9" ht="22" customHeight="1" spans="1:3" x14ac:dyDescent="0.25">
      <c r="A9" s="3"/>
      <c r="B9" s="4" t="s">
        <v>10</v>
      </c>
      <c r="C9" s="5">
        <f>HYPERLINK("#'浙江杭州销售分公司劳务输出_合并'!A1","点击跳转 ➔")</f>
        <v>0</v>
      </c>
    </row>
    <row r="10" ht="22" customHeight="1" spans="1:3" x14ac:dyDescent="0.25">
      <c r="A10" s="3"/>
      <c r="B10" s="4" t="s">
        <v>11</v>
      </c>
      <c r="C10" s="5">
        <f>HYPERLINK("#'浙江杭州销售分公司劳务输出_222200150526'!A1","点击跳转 ➔")</f>
        <v>0</v>
      </c>
    </row>
    <row r="11" ht="22" customHeight="1" spans="1:3" x14ac:dyDescent="0.25">
      <c r="A11" s="3"/>
      <c r="B11" s="4" t="s">
        <v>12</v>
      </c>
      <c r="C11" s="5">
        <f>HYPERLINK("#'浙江杭州销售分公司劳务输出_SH3B25Z076'!A1","点击跳转 ➔")</f>
        <v>0</v>
      </c>
    </row>
    <row r="12" ht="22" customHeight="1" spans="1:3" x14ac:dyDescent="0.25">
      <c r="A12" s="3"/>
      <c r="B12" s="4" t="s">
        <v>13</v>
      </c>
      <c r="C12" s="5">
        <f>HYPERLINK("#'东北销售浙江宁波分公司配餐业务_合并'!A1","点击跳转 ➔")</f>
        <v>0</v>
      </c>
    </row>
    <row r="13" ht="22" customHeight="1" spans="1:3" x14ac:dyDescent="0.25">
      <c r="A13" s="3"/>
      <c r="B13" s="4" t="s">
        <v>14</v>
      </c>
      <c r="C13" s="5">
        <f>HYPERLINK("#'东北销售浙江宁波分公司配餐业务_222200150527'!A1","点击跳转 ➔")</f>
        <v>0</v>
      </c>
    </row>
    <row r="14" ht="22" customHeight="1" spans="1:3" x14ac:dyDescent="0.25">
      <c r="A14" s="3"/>
      <c r="B14" s="4" t="s">
        <v>15</v>
      </c>
      <c r="C14" s="5">
        <f>HYPERLINK("#'东北销售浙江宁波分公司配餐业务_SH3B26Z005'!A1","点击跳转 ➔")</f>
        <v>0</v>
      </c>
    </row>
    <row r="15" ht="22" customHeight="1" spans="1:3" x14ac:dyDescent="0.25">
      <c r="A15" s="3"/>
      <c r="B15" s="4" t="s">
        <v>16</v>
      </c>
      <c r="C15" s="5">
        <f>HYPERLINK("#'东北销售浙江宁波分公司办公物业_合并'!A1","点击跳转 ➔")</f>
        <v>0</v>
      </c>
    </row>
    <row r="16" ht="22" customHeight="1" spans="1:3" x14ac:dyDescent="0.25">
      <c r="A16" s="3"/>
      <c r="B16" s="4" t="s">
        <v>17</v>
      </c>
      <c r="C16" s="5">
        <f>HYPERLINK("#'东北销售浙江宁波分公司办公物业_222200150530'!A1","点击跳转 ➔")</f>
        <v>0</v>
      </c>
    </row>
    <row r="17" ht="22" customHeight="1" spans="1:3" x14ac:dyDescent="0.25">
      <c r="A17" s="3"/>
      <c r="B17" s="4" t="s">
        <v>18</v>
      </c>
      <c r="C17" s="5">
        <f>HYPERLINK("#'东北销售浙江宁波分公司办公物业_SH3B26Z006'!A1","点击跳转 ➔")</f>
        <v>0</v>
      </c>
    </row>
    <row r="18" ht="22" customHeight="1" spans="1:3" x14ac:dyDescent="0.25">
      <c r="A18" s="3"/>
      <c r="B18" s="4" t="s">
        <v>19</v>
      </c>
      <c r="C18" s="5">
        <f>HYPERLINK("#'浙江杭州地质研究院办公物业项目'!A1","点击跳转 ➔")</f>
        <v>0</v>
      </c>
    </row>
    <row r="19" ht="22" customHeight="1" spans="1:3" x14ac:dyDescent="0.25">
      <c r="A19" s="3"/>
      <c r="B19" s="4" t="s">
        <v>20</v>
      </c>
      <c r="C19" s="5">
        <f>HYPERLINK("#'中石化天然气分公司浙江销售配餐项目_合并'!A1","点击跳转 ➔")</f>
        <v>0</v>
      </c>
    </row>
    <row r="20" ht="22" customHeight="1" spans="1:3" x14ac:dyDescent="0.25">
      <c r="A20" s="3"/>
      <c r="B20" s="4" t="s">
        <v>21</v>
      </c>
      <c r="C20" s="5">
        <f>HYPERLINK("#'中石化天然气分公司浙江销售配餐项目_222200150535'!A1","点击跳转 ➔")</f>
        <v>0</v>
      </c>
    </row>
    <row r="21" ht="22" customHeight="1" spans="1:3" x14ac:dyDescent="0.25">
      <c r="A21" s="3"/>
      <c r="B21" s="4" t="s">
        <v>22</v>
      </c>
      <c r="C21" s="5">
        <f>HYPERLINK("#'中石化天然气分公司浙江销售配餐项目_SH3B26Z002'!A1","点击跳转 ➔")</f>
        <v>0</v>
      </c>
    </row>
    <row r="22" ht="22" customHeight="1" spans="1:3" x14ac:dyDescent="0.25">
      <c r="A22" s="3"/>
      <c r="B22" s="4" t="s">
        <v>23</v>
      </c>
      <c r="C22" s="5">
        <f>HYPERLINK("#'浙江杭州地质研究院配餐项目'!A1","点击跳转 ➔")</f>
        <v>0</v>
      </c>
    </row>
    <row r="23" ht="22" customHeight="1" spans="1:3" x14ac:dyDescent="0.25">
      <c r="A23" s="3"/>
      <c r="B23" s="4" t="s">
        <v>24</v>
      </c>
      <c r="C23" s="5">
        <f>HYPERLINK("#'浙江绍兴销售分公司配餐劳务输出项目_合并'!A1","点击跳转 ➔")</f>
        <v>0</v>
      </c>
    </row>
    <row r="24" ht="22" customHeight="1" spans="1:3" x14ac:dyDescent="0.25">
      <c r="A24" s="3"/>
      <c r="B24" s="4" t="s">
        <v>25</v>
      </c>
      <c r="C24" s="5">
        <f>HYPERLINK("#'浙江绍兴销售分公司配餐劳务输出项目_222200150540'!A1","点击跳转 ➔")</f>
        <v>0</v>
      </c>
    </row>
    <row r="25" ht="22" customHeight="1" spans="1:3" x14ac:dyDescent="0.25">
      <c r="A25" s="3"/>
      <c r="B25" s="4" t="s">
        <v>26</v>
      </c>
      <c r="C25" s="5">
        <f>HYPERLINK("#'浙江绍兴销售分公司配餐劳务输出项目_SH3B26Z008'!A1","点击跳转 ➔")</f>
        <v>0</v>
      </c>
    </row>
    <row r="26" ht="22" customHeight="1" spans="1:3" x14ac:dyDescent="0.25">
      <c r="A26" s="3"/>
      <c r="B26" s="4" t="s">
        <v>27</v>
      </c>
      <c r="C26" s="5">
        <f>HYPERLINK("#'浙江金华销售分公司配餐劳务输出项目_合并'!A1","点击跳转 ➔")</f>
        <v>0</v>
      </c>
    </row>
    <row r="27" ht="22" customHeight="1" spans="1:3" x14ac:dyDescent="0.25">
      <c r="A27" s="3"/>
      <c r="B27" s="4" t="s">
        <v>28</v>
      </c>
      <c r="C27" s="5">
        <f>HYPERLINK("#'浙江金华销售分公司配餐劳务输出项目_222200150541'!A1","点击跳转 ➔")</f>
        <v>0</v>
      </c>
    </row>
    <row r="28" ht="22" customHeight="1" spans="1:3" x14ac:dyDescent="0.25">
      <c r="A28" s="3"/>
      <c r="B28" s="4" t="s">
        <v>29</v>
      </c>
      <c r="C28" s="5">
        <f>HYPERLINK("#'浙江金华销售分公司配餐劳务输出项目_SH3B26Z004'!A1","点击跳转 ➔")</f>
        <v>0</v>
      </c>
    </row>
    <row r="29" ht="22" customHeight="1" spans="1:3" x14ac:dyDescent="0.25">
      <c r="A29" s="3"/>
      <c r="B29" s="4" t="s">
        <v>30</v>
      </c>
      <c r="C29" s="5">
        <f>HYPERLINK("#'黄山阳光酒店分公司'!A1","点击跳转 ➔")</f>
        <v>0</v>
      </c>
    </row>
    <row r="30" ht="22" customHeight="1" spans="1:3" x14ac:dyDescent="0.25">
      <c r="A30" s="3"/>
      <c r="B30" s="4" t="s">
        <v>31</v>
      </c>
      <c r="C30" s="5">
        <f>HYPERLINK("#'黄山项目部销售项目'!A1","点击跳转 ➔")</f>
        <v>0</v>
      </c>
    </row>
    <row r="31" ht="22" customHeight="1" spans="1:3" x14ac:dyDescent="0.25">
      <c r="A31" s="3"/>
      <c r="B31" s="4" t="s">
        <v>32</v>
      </c>
      <c r="C31" s="5">
        <f>HYPERLINK("#'东北销售宁波分计量项目'!A1","点击跳转 ➔")</f>
        <v>0</v>
      </c>
    </row>
    <row r="32" ht="22" customHeight="1" spans="1:3" x14ac:dyDescent="0.25">
      <c r="A32" s="3"/>
      <c r="B32" s="4" t="s">
        <v>33</v>
      </c>
      <c r="C32" s="5">
        <f>HYPERLINK("#'浙江衢州销售分公司配餐劳务项目'!A1","点击跳转 ➔")</f>
        <v>0</v>
      </c>
    </row>
  </sheetData>
  <mergeCells count="1">
    <mergeCell ref="A1:C1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55" zoomScaleNormal="55">
      <pane xSplit="1" ySplit="2" topLeftCell="B3" activePane="bottomRight" state="frozen"/>
      <selection pane="bottomRight" activeCell="L38" sqref="L38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72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49</v>
      </c>
      <c r="H3" s="11"/>
      <c r="I3" s="12" t="s">
        <v>49</v>
      </c>
      <c r="J3" s="11"/>
      <c r="K3" s="11"/>
      <c r="L3" s="11"/>
      <c r="M3" s="11"/>
      <c r="N3" s="11"/>
    </row>
    <row r="4" ht="90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51</v>
      </c>
      <c r="H4" s="11"/>
      <c r="I4" s="12" t="s">
        <v>51</v>
      </c>
      <c r="J4" s="11"/>
      <c r="K4" s="11"/>
      <c r="L4" s="11"/>
      <c r="M4" s="11"/>
      <c r="N4" s="11"/>
    </row>
    <row r="5" ht="90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51</v>
      </c>
      <c r="H5" s="11"/>
      <c r="I5" s="12" t="s">
        <v>51</v>
      </c>
      <c r="J5" s="11"/>
      <c r="K5" s="11"/>
      <c r="L5" s="11"/>
      <c r="M5" s="11"/>
      <c r="N5" s="11"/>
    </row>
    <row r="6" ht="90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51</v>
      </c>
      <c r="H6" s="11"/>
      <c r="I6" s="12" t="s">
        <v>51</v>
      </c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 t="s">
        <v>55</v>
      </c>
      <c r="H7" s="11"/>
      <c r="I7" s="12" t="s">
        <v>55</v>
      </c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ht="54" customHeight="1" spans="1:14" x14ac:dyDescent="0.25">
      <c r="A9" s="13" t="s">
        <v>57</v>
      </c>
      <c r="B9" s="11"/>
      <c r="C9" s="11"/>
      <c r="D9" s="11"/>
      <c r="E9" s="11"/>
      <c r="F9" s="11"/>
      <c r="G9" s="12" t="s">
        <v>58</v>
      </c>
      <c r="H9" s="11"/>
      <c r="I9" s="12" t="s">
        <v>58</v>
      </c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 t="s">
        <v>55</v>
      </c>
      <c r="H10" s="11"/>
      <c r="I10" s="12" t="s">
        <v>55</v>
      </c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 t="s">
        <v>55</v>
      </c>
      <c r="H11" s="11"/>
      <c r="I11" s="12" t="s">
        <v>55</v>
      </c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68</v>
      </c>
      <c r="H17" s="11"/>
      <c r="I17" s="12" t="s">
        <v>68</v>
      </c>
      <c r="J17" s="11"/>
      <c r="K17" s="11"/>
      <c r="L17" s="11"/>
      <c r="M17" s="11"/>
      <c r="N17" s="11"/>
    </row>
    <row r="18" ht="36" customHeight="1" spans="1:14" x14ac:dyDescent="0.25">
      <c r="A18" s="14" t="s">
        <v>69</v>
      </c>
      <c r="B18" s="11"/>
      <c r="C18" s="11"/>
      <c r="D18" s="11"/>
      <c r="E18" s="11"/>
      <c r="F18" s="11"/>
      <c r="G18" s="12" t="s">
        <v>70</v>
      </c>
      <c r="H18" s="11"/>
      <c r="I18" s="12" t="s">
        <v>70</v>
      </c>
      <c r="J18" s="11"/>
      <c r="K18" s="11"/>
      <c r="L18" s="11"/>
      <c r="M18" s="11"/>
      <c r="N18" s="11"/>
    </row>
    <row r="19" ht="36" customHeight="1" spans="1:14" x14ac:dyDescent="0.25">
      <c r="A19" s="14" t="s">
        <v>71</v>
      </c>
      <c r="B19" s="11"/>
      <c r="C19" s="11"/>
      <c r="D19" s="11"/>
      <c r="E19" s="11"/>
      <c r="F19" s="11"/>
      <c r="G19" s="12" t="s">
        <v>72</v>
      </c>
      <c r="H19" s="11"/>
      <c r="I19" s="12" t="s">
        <v>72</v>
      </c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 t="s">
        <v>75</v>
      </c>
      <c r="H21" s="11"/>
      <c r="I21" s="12" t="s">
        <v>75</v>
      </c>
      <c r="J21" s="11"/>
      <c r="K21" s="11"/>
      <c r="L21" s="11"/>
      <c r="M21" s="11"/>
      <c r="N21" s="11"/>
    </row>
    <row r="22" ht="36" customHeight="1" spans="1:14" x14ac:dyDescent="0.25">
      <c r="A22" s="14" t="s">
        <v>76</v>
      </c>
      <c r="B22" s="11"/>
      <c r="C22" s="11"/>
      <c r="D22" s="11"/>
      <c r="E22" s="11"/>
      <c r="F22" s="11"/>
      <c r="G22" s="12" t="s">
        <v>77</v>
      </c>
      <c r="H22" s="11"/>
      <c r="I22" s="12" t="s">
        <v>77</v>
      </c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79</v>
      </c>
      <c r="H23" s="11"/>
      <c r="I23" s="12" t="s">
        <v>79</v>
      </c>
      <c r="J23" s="11"/>
      <c r="K23" s="11"/>
      <c r="L23" s="11"/>
      <c r="M23" s="11"/>
      <c r="N23" s="11"/>
    </row>
    <row r="24" ht="90" customHeight="1" spans="1:14" x14ac:dyDescent="0.25">
      <c r="A24" s="14" t="s">
        <v>80</v>
      </c>
      <c r="B24" s="11"/>
      <c r="C24" s="11"/>
      <c r="D24" s="11"/>
      <c r="E24" s="11"/>
      <c r="F24" s="11"/>
      <c r="G24" s="12" t="s">
        <v>81</v>
      </c>
      <c r="H24" s="11"/>
      <c r="I24" s="12" t="s">
        <v>81</v>
      </c>
      <c r="J24" s="11"/>
      <c r="K24" s="11"/>
      <c r="L24" s="11"/>
      <c r="M24" s="11"/>
      <c r="N24" s="11"/>
    </row>
    <row r="25" ht="90" customHeight="1" spans="1:14" x14ac:dyDescent="0.25">
      <c r="A25" s="14" t="s">
        <v>82</v>
      </c>
      <c r="B25" s="11"/>
      <c r="C25" s="11"/>
      <c r="D25" s="11"/>
      <c r="E25" s="11"/>
      <c r="F25" s="11"/>
      <c r="G25" s="12" t="s">
        <v>83</v>
      </c>
      <c r="H25" s="11"/>
      <c r="I25" s="12" t="s">
        <v>83</v>
      </c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85</v>
      </c>
      <c r="H26" s="11"/>
      <c r="I26" s="12" t="s">
        <v>85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ht="90" customHeight="1" spans="1:14" x14ac:dyDescent="0.25">
      <c r="A28" s="13" t="s">
        <v>87</v>
      </c>
      <c r="B28" s="11"/>
      <c r="C28" s="11"/>
      <c r="D28" s="11"/>
      <c r="E28" s="11"/>
      <c r="F28" s="11"/>
      <c r="G28" s="12" t="s">
        <v>88</v>
      </c>
      <c r="H28" s="11"/>
      <c r="I28" s="12" t="s">
        <v>88</v>
      </c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 t="s">
        <v>55</v>
      </c>
      <c r="H30" s="11"/>
      <c r="I30" s="12" t="s">
        <v>55</v>
      </c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ht="36" customHeight="1" spans="1:14" x14ac:dyDescent="0.25">
      <c r="A34" s="18" t="s">
        <v>94</v>
      </c>
      <c r="B34" s="11"/>
      <c r="C34" s="11"/>
      <c r="D34" s="11"/>
      <c r="E34" s="11"/>
      <c r="F34" s="11"/>
      <c r="G34" s="12" t="s">
        <v>95</v>
      </c>
      <c r="H34" s="11"/>
      <c r="I34" s="12" t="s">
        <v>95</v>
      </c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ht="36" customHeight="1" spans="1:14" x14ac:dyDescent="0.25">
      <c r="A36" s="19" t="s">
        <v>97</v>
      </c>
      <c r="B36" s="11"/>
      <c r="C36" s="11"/>
      <c r="D36" s="11"/>
      <c r="E36" s="11"/>
      <c r="F36" s="11"/>
      <c r="G36" s="12" t="s">
        <v>98</v>
      </c>
      <c r="H36" s="11"/>
      <c r="I36" s="12" t="s">
        <v>98</v>
      </c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409.5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101</v>
      </c>
      <c r="H38" s="11"/>
      <c r="I38" s="12" t="s">
        <v>101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409.5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101</v>
      </c>
      <c r="H40" s="11"/>
      <c r="I40" s="12" t="s">
        <v>101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70" zoomScaleNormal="70">
      <pane xSplit="1" ySplit="2" topLeftCell="B39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105</v>
      </c>
      <c r="H3" s="11"/>
      <c r="I3" s="12" t="s">
        <v>105</v>
      </c>
      <c r="J3" s="11"/>
      <c r="K3" s="11"/>
      <c r="L3" s="11"/>
      <c r="M3" s="11"/>
      <c r="N3" s="11"/>
    </row>
    <row r="4" ht="72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106</v>
      </c>
      <c r="H4" s="11"/>
      <c r="I4" s="12" t="s">
        <v>106</v>
      </c>
      <c r="J4" s="11"/>
      <c r="K4" s="11"/>
      <c r="L4" s="11"/>
      <c r="M4" s="11"/>
      <c r="N4" s="11"/>
    </row>
    <row r="5" ht="72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107</v>
      </c>
      <c r="H5" s="11"/>
      <c r="I5" s="12" t="s">
        <v>107</v>
      </c>
      <c r="J5" s="11"/>
      <c r="K5" s="11"/>
      <c r="L5" s="11"/>
      <c r="M5" s="11"/>
      <c r="N5" s="11"/>
    </row>
    <row r="6" ht="72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107</v>
      </c>
      <c r="H6" s="11"/>
      <c r="I6" s="12" t="s">
        <v>107</v>
      </c>
      <c r="J6" s="11"/>
      <c r="K6" s="11"/>
      <c r="L6" s="11"/>
      <c r="M6" s="11"/>
      <c r="N6" s="11"/>
    </row>
    <row r="7" ht="72" customHeight="1" spans="1:14" x14ac:dyDescent="0.25">
      <c r="A7" s="13" t="s">
        <v>54</v>
      </c>
      <c r="B7" s="11"/>
      <c r="C7" s="11"/>
      <c r="D7" s="11"/>
      <c r="E7" s="11"/>
      <c r="F7" s="11"/>
      <c r="G7" s="12" t="s">
        <v>108</v>
      </c>
      <c r="H7" s="11"/>
      <c r="I7" s="12" t="s">
        <v>108</v>
      </c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68</v>
      </c>
      <c r="H17" s="11"/>
      <c r="I17" s="12" t="s">
        <v>68</v>
      </c>
      <c r="J17" s="11"/>
      <c r="K17" s="11"/>
      <c r="L17" s="11"/>
      <c r="M17" s="11"/>
      <c r="N17" s="11"/>
    </row>
    <row r="18" ht="36" customHeight="1" spans="1:14" x14ac:dyDescent="0.25">
      <c r="A18" s="14" t="s">
        <v>69</v>
      </c>
      <c r="B18" s="11"/>
      <c r="C18" s="11"/>
      <c r="D18" s="11"/>
      <c r="E18" s="11"/>
      <c r="F18" s="11"/>
      <c r="G18" s="12" t="s">
        <v>70</v>
      </c>
      <c r="H18" s="11"/>
      <c r="I18" s="12" t="s">
        <v>70</v>
      </c>
      <c r="J18" s="11"/>
      <c r="K18" s="11"/>
      <c r="L18" s="11"/>
      <c r="M18" s="11"/>
      <c r="N18" s="11"/>
    </row>
    <row r="19" ht="36" customHeight="1" spans="1:14" x14ac:dyDescent="0.25">
      <c r="A19" s="14" t="s">
        <v>71</v>
      </c>
      <c r="B19" s="11"/>
      <c r="C19" s="11"/>
      <c r="D19" s="11"/>
      <c r="E19" s="11"/>
      <c r="F19" s="11"/>
      <c r="G19" s="12" t="s">
        <v>109</v>
      </c>
      <c r="H19" s="11"/>
      <c r="I19" s="12" t="s">
        <v>109</v>
      </c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ht="36" customHeight="1" spans="1:14" x14ac:dyDescent="0.25">
      <c r="A22" s="14" t="s">
        <v>76</v>
      </c>
      <c r="B22" s="11"/>
      <c r="C22" s="11"/>
      <c r="D22" s="11"/>
      <c r="E22" s="11"/>
      <c r="F22" s="11"/>
      <c r="G22" s="12" t="s">
        <v>110</v>
      </c>
      <c r="H22" s="11"/>
      <c r="I22" s="12" t="s">
        <v>110</v>
      </c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111</v>
      </c>
      <c r="H23" s="11"/>
      <c r="I23" s="12" t="s">
        <v>111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06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112</v>
      </c>
      <c r="H38" s="11"/>
      <c r="I38" s="12" t="s">
        <v>112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306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112</v>
      </c>
      <c r="H40" s="11"/>
      <c r="I40" s="12" t="s">
        <v>112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5"/>
  </sheetPr>
  <dimension ref="A1:N40"/>
  <sheetViews>
    <sheetView workbookViewId="0" zoomScale="70" zoomScaleNormal="70">
      <pane xSplit="1" ySplit="2" topLeftCell="B30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 t="s">
        <v>114</v>
      </c>
      <c r="H3" s="11"/>
      <c r="I3" s="12" t="s">
        <v>55</v>
      </c>
      <c r="J3" s="11"/>
      <c r="K3" s="11"/>
      <c r="L3" s="11"/>
      <c r="M3" s="11"/>
      <c r="N3" s="11"/>
    </row>
    <row r="4" ht="36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115</v>
      </c>
      <c r="H4" s="11"/>
      <c r="I4" s="12"/>
      <c r="J4" s="11"/>
      <c r="K4" s="11"/>
      <c r="L4" s="11"/>
      <c r="M4" s="11"/>
      <c r="N4" s="11"/>
    </row>
    <row r="5" ht="36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115</v>
      </c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ht="36" customHeight="1" spans="1:14" x14ac:dyDescent="0.25">
      <c r="A9" s="13" t="s">
        <v>57</v>
      </c>
      <c r="B9" s="11"/>
      <c r="C9" s="11"/>
      <c r="D9" s="11"/>
      <c r="E9" s="11"/>
      <c r="F9" s="11"/>
      <c r="G9" s="12" t="s">
        <v>115</v>
      </c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116</v>
      </c>
      <c r="H15" s="11"/>
      <c r="I15" s="12" t="s">
        <v>116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118</v>
      </c>
      <c r="H23" s="11"/>
      <c r="I23" s="12" t="s">
        <v>118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6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119</v>
      </c>
      <c r="H26" s="11"/>
      <c r="I26" s="12" t="s">
        <v>119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44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120</v>
      </c>
      <c r="H38" s="11"/>
      <c r="I38" s="12" t="s">
        <v>120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44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120</v>
      </c>
      <c r="H40" s="11"/>
      <c r="I40" s="12" t="s">
        <v>120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5"/>
  </sheetPr>
  <dimension ref="A1:N40"/>
  <sheetViews>
    <sheetView workbookViewId="0" zoomScale="70" zoomScaleNormal="70">
      <pane xSplit="1" ySplit="2" topLeftCell="B27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72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125</v>
      </c>
      <c r="H3" s="11"/>
      <c r="I3" s="12" t="s">
        <v>125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36" customHeight="1" spans="1:14" x14ac:dyDescent="0.25">
      <c r="A17" s="14" t="s">
        <v>67</v>
      </c>
      <c r="B17" s="11"/>
      <c r="C17" s="11"/>
      <c r="D17" s="11"/>
      <c r="E17" s="11"/>
      <c r="F17" s="11"/>
      <c r="G17" s="12" t="s">
        <v>126</v>
      </c>
      <c r="H17" s="11"/>
      <c r="I17" s="12" t="s">
        <v>126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127</v>
      </c>
      <c r="H18" s="11"/>
      <c r="I18" s="12" t="s">
        <v>127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128</v>
      </c>
      <c r="H23" s="11"/>
      <c r="I23" s="12" t="s">
        <v>128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6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119</v>
      </c>
      <c r="H26" s="11"/>
      <c r="I26" s="12" t="s">
        <v>119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72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129</v>
      </c>
      <c r="H38" s="11"/>
      <c r="I38" s="12" t="s">
        <v>129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72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129</v>
      </c>
      <c r="H40" s="11"/>
      <c r="I40" s="12" t="s">
        <v>129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5"/>
  </sheetPr>
  <dimension ref="A1:N40"/>
  <sheetViews>
    <sheetView workbookViewId="0" zoomScale="70" zoomScaleNormal="70">
      <pane xSplit="1" ySplit="2" topLeftCell="B34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72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133</v>
      </c>
      <c r="H3" s="11"/>
      <c r="I3" s="12" t="s">
        <v>133</v>
      </c>
      <c r="J3" s="11"/>
      <c r="K3" s="11"/>
      <c r="L3" s="11"/>
      <c r="M3" s="11"/>
      <c r="N3" s="11"/>
    </row>
    <row r="4" ht="36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134</v>
      </c>
      <c r="H4" s="11"/>
      <c r="I4" s="12" t="s">
        <v>134</v>
      </c>
      <c r="J4" s="11"/>
      <c r="K4" s="11"/>
      <c r="L4" s="11"/>
      <c r="M4" s="11"/>
      <c r="N4" s="11"/>
    </row>
    <row r="5" ht="36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134</v>
      </c>
      <c r="H5" s="11"/>
      <c r="I5" s="12" t="s">
        <v>134</v>
      </c>
      <c r="J5" s="11"/>
      <c r="K5" s="11"/>
      <c r="L5" s="11"/>
      <c r="M5" s="11"/>
      <c r="N5" s="11"/>
    </row>
    <row r="6" ht="36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134</v>
      </c>
      <c r="H6" s="11"/>
      <c r="I6" s="12" t="s">
        <v>134</v>
      </c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128</v>
      </c>
      <c r="H23" s="11"/>
      <c r="I23" s="12" t="s">
        <v>128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6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119</v>
      </c>
      <c r="H26" s="11"/>
      <c r="I26" s="12" t="s">
        <v>119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08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135</v>
      </c>
      <c r="H38" s="11"/>
      <c r="I38" s="12" t="s">
        <v>135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08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135</v>
      </c>
      <c r="H40" s="11"/>
      <c r="I40" s="12" t="s">
        <v>135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4" activePane="bottomRight" state="frozen"/>
      <selection pane="bottomRight" activeCell="G42" sqref="G42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137</v>
      </c>
      <c r="H3" s="11"/>
      <c r="I3" s="12" t="s">
        <v>137</v>
      </c>
      <c r="J3" s="11"/>
      <c r="K3" s="11"/>
      <c r="L3" s="11"/>
      <c r="M3" s="11"/>
      <c r="N3" s="11"/>
    </row>
    <row r="4" ht="36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137</v>
      </c>
      <c r="H4" s="11"/>
      <c r="I4" s="12" t="s">
        <v>137</v>
      </c>
      <c r="J4" s="11"/>
      <c r="K4" s="11"/>
      <c r="L4" s="11"/>
      <c r="M4" s="11"/>
      <c r="N4" s="11"/>
    </row>
    <row r="5" ht="36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137</v>
      </c>
      <c r="H5" s="11"/>
      <c r="I5" s="12" t="s">
        <v>137</v>
      </c>
      <c r="J5" s="11"/>
      <c r="K5" s="11"/>
      <c r="L5" s="11"/>
      <c r="M5" s="11"/>
      <c r="N5" s="11"/>
    </row>
    <row r="6" ht="36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137</v>
      </c>
      <c r="H6" s="11"/>
      <c r="I6" s="12" t="s">
        <v>137</v>
      </c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128</v>
      </c>
      <c r="H23" s="11"/>
      <c r="I23" s="12" t="s">
        <v>128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6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119</v>
      </c>
      <c r="H26" s="11"/>
      <c r="I26" s="12" t="s">
        <v>119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6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137</v>
      </c>
      <c r="H38" s="11"/>
      <c r="I38" s="12" t="s">
        <v>137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36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137</v>
      </c>
      <c r="H40" s="11"/>
      <c r="I40" s="12" t="s">
        <v>137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4"/>
  </sheetPr>
  <dimension ref="A1:N40"/>
  <sheetViews>
    <sheetView workbookViewId="0" zoomScale="70" zoomScaleNormal="70">
      <pane xSplit="1" ySplit="2" topLeftCell="B21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140</v>
      </c>
      <c r="H3" s="11"/>
      <c r="I3" s="12" t="s">
        <v>141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ht="36" customHeight="1" spans="1:14" x14ac:dyDescent="0.25">
      <c r="A18" s="14" t="s">
        <v>69</v>
      </c>
      <c r="B18" s="11"/>
      <c r="C18" s="11"/>
      <c r="D18" s="11"/>
      <c r="E18" s="11"/>
      <c r="F18" s="11"/>
      <c r="G18" s="12" t="s">
        <v>142</v>
      </c>
      <c r="H18" s="11"/>
      <c r="I18" s="12" t="s">
        <v>142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143</v>
      </c>
      <c r="H23" s="11"/>
      <c r="I23" s="12" t="s">
        <v>143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6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119</v>
      </c>
      <c r="H26" s="11"/>
      <c r="I26" s="12" t="s">
        <v>119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54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144</v>
      </c>
      <c r="H38" s="11"/>
      <c r="I38" s="12" t="s">
        <v>144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54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144</v>
      </c>
      <c r="H40" s="11"/>
      <c r="I40" s="12" t="s">
        <v>144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70" zoomScaleNormal="70">
      <pane xSplit="1" ySplit="2" topLeftCell="B3" activePane="bottomRight" state="frozen"/>
      <selection pane="bottomRight" activeCell="G40" sqref="G40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137</v>
      </c>
      <c r="H3" s="11"/>
      <c r="I3" s="12" t="s">
        <v>137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ht="36" customHeight="1" spans="1:14" x14ac:dyDescent="0.25">
      <c r="A18" s="14" t="s">
        <v>69</v>
      </c>
      <c r="B18" s="11"/>
      <c r="C18" s="11"/>
      <c r="D18" s="11"/>
      <c r="E18" s="11"/>
      <c r="F18" s="11"/>
      <c r="G18" s="12" t="s">
        <v>142</v>
      </c>
      <c r="H18" s="11"/>
      <c r="I18" s="12" t="s">
        <v>142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143</v>
      </c>
      <c r="H23" s="11"/>
      <c r="I23" s="12" t="s">
        <v>143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6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119</v>
      </c>
      <c r="H26" s="11"/>
      <c r="I26" s="12" t="s">
        <v>119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6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137</v>
      </c>
      <c r="H38" s="11"/>
      <c r="I38" s="12" t="s">
        <v>137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36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137</v>
      </c>
      <c r="H40" s="11"/>
      <c r="I40" s="12" t="s">
        <v>137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 t="s">
        <v>147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 t="s">
        <v>147</v>
      </c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4"/>
  </sheetPr>
  <dimension ref="A1:N40"/>
  <sheetViews>
    <sheetView workbookViewId="0" zoomScale="70" zoomScaleNormal="70">
      <pane xSplit="1" ySplit="2" topLeftCell="B30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54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149</v>
      </c>
      <c r="H3" s="11"/>
      <c r="I3" s="12" t="s">
        <v>149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150</v>
      </c>
      <c r="H18" s="11"/>
      <c r="I18" s="12" t="s">
        <v>150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 t="s">
        <v>75</v>
      </c>
      <c r="H21" s="11"/>
      <c r="I21" s="12" t="s">
        <v>75</v>
      </c>
      <c r="J21" s="11"/>
      <c r="K21" s="11"/>
      <c r="L21" s="11"/>
      <c r="M21" s="11"/>
      <c r="N21" s="11"/>
    </row>
    <row r="22" ht="36" customHeight="1" spans="1:14" x14ac:dyDescent="0.25">
      <c r="A22" s="14" t="s">
        <v>76</v>
      </c>
      <c r="B22" s="11"/>
      <c r="C22" s="11"/>
      <c r="D22" s="11"/>
      <c r="E22" s="11"/>
      <c r="F22" s="11"/>
      <c r="G22" s="12" t="s">
        <v>77</v>
      </c>
      <c r="H22" s="11"/>
      <c r="I22" s="12" t="s">
        <v>77</v>
      </c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151</v>
      </c>
      <c r="H23" s="11"/>
      <c r="I23" s="12" t="s">
        <v>151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62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152</v>
      </c>
      <c r="H38" s="11"/>
      <c r="I38" s="12" t="s">
        <v>152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62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152</v>
      </c>
      <c r="H40" s="11"/>
      <c r="I40" s="12" t="s">
        <v>152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"/>
  </sheetPr>
  <dimension ref="A1:N40"/>
  <sheetViews>
    <sheetView workbookViewId="0" zoomScale="70" zoomScaleNormal="70">
      <pane xSplit="1" ySplit="2" topLeftCell="B24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54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154</v>
      </c>
      <c r="H3" s="11"/>
      <c r="I3" s="12" t="s">
        <v>154</v>
      </c>
      <c r="J3" s="11"/>
      <c r="K3" s="11"/>
      <c r="L3" s="11"/>
      <c r="M3" s="11"/>
      <c r="N3" s="11"/>
    </row>
    <row r="4" ht="36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155</v>
      </c>
      <c r="H4" s="11"/>
      <c r="I4" s="12" t="s">
        <v>155</v>
      </c>
      <c r="J4" s="11"/>
      <c r="K4" s="11"/>
      <c r="L4" s="11"/>
      <c r="M4" s="11"/>
      <c r="N4" s="11"/>
    </row>
    <row r="5" ht="36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155</v>
      </c>
      <c r="H5" s="11"/>
      <c r="I5" s="12" t="s">
        <v>155</v>
      </c>
      <c r="J5" s="11"/>
      <c r="K5" s="11"/>
      <c r="L5" s="11"/>
      <c r="M5" s="11"/>
      <c r="N5" s="11"/>
    </row>
    <row r="6" ht="36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155</v>
      </c>
      <c r="H6" s="11"/>
      <c r="I6" s="12" t="s">
        <v>155</v>
      </c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117</v>
      </c>
      <c r="H18" s="11"/>
      <c r="I18" s="12" t="s">
        <v>117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156</v>
      </c>
      <c r="H23" s="11"/>
      <c r="I23" s="12" t="s">
        <v>156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54" customHeight="1" spans="1:14" x14ac:dyDescent="0.25">
      <c r="A26" s="14" t="s">
        <v>84</v>
      </c>
      <c r="B26" s="11"/>
      <c r="C26" s="11"/>
      <c r="D26" s="11"/>
      <c r="E26" s="11"/>
      <c r="F26" s="11"/>
      <c r="G26" s="12" t="s">
        <v>157</v>
      </c>
      <c r="H26" s="11"/>
      <c r="I26" s="12" t="s">
        <v>157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72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158</v>
      </c>
      <c r="H38" s="11"/>
      <c r="I38" s="12" t="s">
        <v>158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72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158</v>
      </c>
      <c r="H40" s="11"/>
      <c r="I40" s="12" t="s">
        <v>158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 t="s">
        <v>147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 t="s">
        <v>147</v>
      </c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"/>
  </sheetPr>
  <dimension ref="A1:N40"/>
  <sheetViews>
    <sheetView workbookViewId="0" zoomScale="70" zoomScaleNormal="70">
      <pane xSplit="1" ySplit="2" topLeftCell="B33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180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162</v>
      </c>
      <c r="H3" s="11"/>
      <c r="I3" s="12" t="s">
        <v>162</v>
      </c>
      <c r="J3" s="11"/>
      <c r="K3" s="11"/>
      <c r="L3" s="11"/>
      <c r="M3" s="11"/>
      <c r="N3" s="11"/>
    </row>
    <row r="4" ht="72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163</v>
      </c>
      <c r="H4" s="11"/>
      <c r="I4" s="12" t="s">
        <v>163</v>
      </c>
      <c r="J4" s="11"/>
      <c r="K4" s="11"/>
      <c r="L4" s="11"/>
      <c r="M4" s="11"/>
      <c r="N4" s="11"/>
    </row>
    <row r="5" ht="72" customHeight="1" spans="1:14" x14ac:dyDescent="0.25">
      <c r="A5" s="13" t="s">
        <v>52</v>
      </c>
      <c r="B5" s="11"/>
      <c r="C5" s="11"/>
      <c r="D5" s="11"/>
      <c r="E5" s="11"/>
      <c r="F5" s="11"/>
      <c r="G5" s="12" t="s">
        <v>163</v>
      </c>
      <c r="H5" s="11"/>
      <c r="I5" s="12" t="s">
        <v>163</v>
      </c>
      <c r="J5" s="11"/>
      <c r="K5" s="11"/>
      <c r="L5" s="11"/>
      <c r="M5" s="11"/>
      <c r="N5" s="11"/>
    </row>
    <row r="6" ht="72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163</v>
      </c>
      <c r="H6" s="11"/>
      <c r="I6" s="12" t="s">
        <v>163</v>
      </c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 t="s">
        <v>164</v>
      </c>
      <c r="H7" s="11"/>
      <c r="I7" s="12" t="s">
        <v>164</v>
      </c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36" customHeight="1" spans="1:14" x14ac:dyDescent="0.25">
      <c r="A17" s="14" t="s">
        <v>67</v>
      </c>
      <c r="B17" s="11"/>
      <c r="C17" s="11"/>
      <c r="D17" s="11"/>
      <c r="E17" s="11"/>
      <c r="F17" s="11"/>
      <c r="G17" s="12" t="s">
        <v>165</v>
      </c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55</v>
      </c>
      <c r="H23" s="11"/>
      <c r="I23" s="12" t="s">
        <v>55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166</v>
      </c>
      <c r="H26" s="11"/>
      <c r="I26" s="12" t="s">
        <v>166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98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167</v>
      </c>
      <c r="H38" s="11"/>
      <c r="I38" s="12" t="s">
        <v>167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98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167</v>
      </c>
      <c r="H40" s="11"/>
      <c r="I40" s="12" t="s">
        <v>167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4"/>
  </sheetPr>
  <dimension ref="A1:N40"/>
  <sheetViews>
    <sheetView workbookViewId="0" zoomScale="100" zoomScaleNormal="100">
      <pane xSplit="1" ySplit="2" topLeftCell="B37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54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169</v>
      </c>
      <c r="H3" s="11"/>
      <c r="I3" s="12" t="s">
        <v>169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117</v>
      </c>
      <c r="H18" s="11"/>
      <c r="I18" s="12" t="s">
        <v>117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170</v>
      </c>
      <c r="H23" s="11"/>
      <c r="I23" s="12" t="s">
        <v>170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55</v>
      </c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72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171</v>
      </c>
      <c r="H38" s="11"/>
      <c r="I38" s="12" t="s">
        <v>171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72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171</v>
      </c>
      <c r="H40" s="11"/>
      <c r="I40" s="12" t="s">
        <v>171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70" zoomScaleNormal="70">
      <pane xSplit="1" ySplit="2" topLeftCell="B3" activePane="bottomRight" state="frozen"/>
      <selection pane="bottomRight" activeCell="H5" sqref="H5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72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173</v>
      </c>
      <c r="H3" s="11"/>
      <c r="I3" s="12" t="s">
        <v>173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65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117</v>
      </c>
      <c r="H18" s="11"/>
      <c r="I18" s="12" t="s">
        <v>117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36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170</v>
      </c>
      <c r="H23" s="11"/>
      <c r="I23" s="12" t="s">
        <v>170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55</v>
      </c>
      <c r="H26" s="11"/>
      <c r="I26" s="12" t="s">
        <v>55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0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174</v>
      </c>
      <c r="H38" s="11"/>
      <c r="I38" s="12" t="s">
        <v>174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90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174</v>
      </c>
      <c r="H40" s="11"/>
      <c r="I40" s="12" t="s">
        <v>174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3" sqref="G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4"/>
  </sheetPr>
  <dimension ref="A1:N40"/>
  <sheetViews>
    <sheetView workbookViewId="0" zoomScale="85" zoomScaleNormal="85">
      <pane xSplit="1" ySplit="2" topLeftCell="B30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177</v>
      </c>
      <c r="H3" s="11"/>
      <c r="I3" s="12" t="s">
        <v>178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116</v>
      </c>
      <c r="H15" s="11"/>
      <c r="I15" s="12" t="s">
        <v>116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55</v>
      </c>
      <c r="H23" s="11"/>
      <c r="I23" s="12" t="s">
        <v>55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85</v>
      </c>
      <c r="H26" s="11"/>
      <c r="I26" s="12" t="s">
        <v>85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0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179</v>
      </c>
      <c r="H38" s="11"/>
      <c r="I38" s="12" t="s">
        <v>179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90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179</v>
      </c>
      <c r="H40" s="11"/>
      <c r="I40" s="12" t="s">
        <v>179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3" sqref="G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100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103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I3" sqref="I3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177</v>
      </c>
      <c r="H3" s="11"/>
      <c r="I3" s="12" t="s">
        <v>177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116</v>
      </c>
      <c r="H15" s="11"/>
      <c r="I15" s="12" t="s">
        <v>116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117</v>
      </c>
      <c r="H17" s="11"/>
      <c r="I17" s="12" t="s">
        <v>117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55</v>
      </c>
      <c r="H23" s="11"/>
      <c r="I23" s="12" t="s">
        <v>55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85</v>
      </c>
      <c r="H26" s="11"/>
      <c r="I26" s="12" t="s">
        <v>85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90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179</v>
      </c>
      <c r="H38" s="11"/>
      <c r="I38" s="12" t="s">
        <v>179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90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179</v>
      </c>
      <c r="H40" s="11"/>
      <c r="I40" s="12" t="s">
        <v>179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"/>
  </sheetPr>
  <dimension ref="A1:N40"/>
  <sheetViews>
    <sheetView workbookViewId="0" zoomScale="70" zoomScaleNormal="70">
      <pane xSplit="1" ySplit="2" topLeftCell="B33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54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183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 t="s">
        <v>184</v>
      </c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ht="54" customHeight="1" spans="1:14" x14ac:dyDescent="0.25">
      <c r="A11" s="13" t="s">
        <v>60</v>
      </c>
      <c r="B11" s="11"/>
      <c r="C11" s="11"/>
      <c r="D11" s="11"/>
      <c r="E11" s="11"/>
      <c r="F11" s="11"/>
      <c r="G11" s="12" t="s">
        <v>185</v>
      </c>
      <c r="H11" s="11"/>
      <c r="I11" s="12" t="s">
        <v>186</v>
      </c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 t="s">
        <v>187</v>
      </c>
      <c r="H14" s="11"/>
      <c r="I14" s="12"/>
      <c r="J14" s="11"/>
      <c r="K14" s="11"/>
      <c r="L14" s="11"/>
      <c r="M14" s="11"/>
      <c r="N14" s="11"/>
    </row>
    <row r="15" ht="36" customHeight="1" spans="1:14" x14ac:dyDescent="0.25">
      <c r="A15" s="13" t="s">
        <v>64</v>
      </c>
      <c r="B15" s="11"/>
      <c r="C15" s="11"/>
      <c r="D15" s="11"/>
      <c r="E15" s="11"/>
      <c r="F15" s="11"/>
      <c r="G15" s="12" t="s">
        <v>65</v>
      </c>
      <c r="H15" s="11"/>
      <c r="I15" s="12" t="s">
        <v>188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54" customHeight="1" spans="1:14" x14ac:dyDescent="0.25">
      <c r="A17" s="14" t="s">
        <v>67</v>
      </c>
      <c r="B17" s="11"/>
      <c r="C17" s="11"/>
      <c r="D17" s="11"/>
      <c r="E17" s="11"/>
      <c r="F17" s="11"/>
      <c r="G17" s="12" t="s">
        <v>189</v>
      </c>
      <c r="H17" s="11"/>
      <c r="I17" s="12" t="s">
        <v>190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ht="36" customHeight="1" spans="1:14" x14ac:dyDescent="0.25">
      <c r="A19" s="14" t="s">
        <v>71</v>
      </c>
      <c r="B19" s="11"/>
      <c r="C19" s="11"/>
      <c r="D19" s="11"/>
      <c r="E19" s="11"/>
      <c r="F19" s="11"/>
      <c r="G19" s="12" t="s">
        <v>191</v>
      </c>
      <c r="H19" s="11"/>
      <c r="I19" s="12" t="s">
        <v>191</v>
      </c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ht="54" customHeight="1" spans="1:14" x14ac:dyDescent="0.25">
      <c r="A23" s="14" t="s">
        <v>78</v>
      </c>
      <c r="B23" s="11"/>
      <c r="C23" s="11"/>
      <c r="D23" s="11"/>
      <c r="E23" s="11"/>
      <c r="F23" s="11"/>
      <c r="G23" s="12" t="s">
        <v>192</v>
      </c>
      <c r="H23" s="11"/>
      <c r="I23" s="12" t="s">
        <v>193</v>
      </c>
      <c r="J23" s="11"/>
      <c r="K23" s="11"/>
      <c r="L23" s="11"/>
      <c r="M23" s="11"/>
      <c r="N23" s="11"/>
    </row>
    <row r="24" ht="54" customHeight="1" spans="1:14" x14ac:dyDescent="0.25">
      <c r="A24" s="14" t="s">
        <v>80</v>
      </c>
      <c r="B24" s="11"/>
      <c r="C24" s="11"/>
      <c r="D24" s="11"/>
      <c r="E24" s="11"/>
      <c r="F24" s="11"/>
      <c r="G24" s="12" t="s">
        <v>194</v>
      </c>
      <c r="H24" s="11"/>
      <c r="I24" s="12" t="s">
        <v>194</v>
      </c>
      <c r="J24" s="11"/>
      <c r="K24" s="11"/>
      <c r="L24" s="11"/>
      <c r="M24" s="11"/>
      <c r="N24" s="11"/>
    </row>
    <row r="25" ht="54" customHeight="1" spans="1:14" x14ac:dyDescent="0.25">
      <c r="A25" s="14" t="s">
        <v>82</v>
      </c>
      <c r="B25" s="11"/>
      <c r="C25" s="11"/>
      <c r="D25" s="11"/>
      <c r="E25" s="11"/>
      <c r="F25" s="11"/>
      <c r="G25" s="12" t="s">
        <v>195</v>
      </c>
      <c r="H25" s="11"/>
      <c r="I25" s="12" t="s">
        <v>195</v>
      </c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55</v>
      </c>
      <c r="H26" s="11"/>
      <c r="I26" s="12" t="s">
        <v>55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ht="72" customHeight="1" spans="1:14" x14ac:dyDescent="0.25">
      <c r="A28" s="13" t="s">
        <v>87</v>
      </c>
      <c r="B28" s="11"/>
      <c r="C28" s="11"/>
      <c r="D28" s="11"/>
      <c r="E28" s="11"/>
      <c r="F28" s="11"/>
      <c r="G28" s="12" t="s">
        <v>196</v>
      </c>
      <c r="H28" s="11"/>
      <c r="I28" s="12" t="s">
        <v>196</v>
      </c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 t="s">
        <v>55</v>
      </c>
      <c r="H30" s="11"/>
      <c r="I30" s="12" t="s">
        <v>55</v>
      </c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ht="36" customHeight="1" spans="1:14" x14ac:dyDescent="0.25">
      <c r="A34" s="18" t="s">
        <v>94</v>
      </c>
      <c r="B34" s="11"/>
      <c r="C34" s="11"/>
      <c r="D34" s="11"/>
      <c r="E34" s="11"/>
      <c r="F34" s="11"/>
      <c r="G34" s="12" t="s">
        <v>197</v>
      </c>
      <c r="H34" s="11"/>
      <c r="I34" s="12" t="s">
        <v>197</v>
      </c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 t="s">
        <v>198</v>
      </c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62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199</v>
      </c>
      <c r="H38" s="11"/>
      <c r="I38" s="12" t="s">
        <v>199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62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199</v>
      </c>
      <c r="H40" s="11"/>
      <c r="I40" s="12" t="s">
        <v>199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"/>
  </sheetPr>
  <dimension ref="A1:N40"/>
  <sheetViews>
    <sheetView workbookViewId="0" zoomScale="70" zoomScaleNormal="70">
      <pane xSplit="1" ySplit="2" topLeftCell="B24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54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201</v>
      </c>
      <c r="H3" s="11"/>
      <c r="I3" s="12" t="s">
        <v>201</v>
      </c>
      <c r="J3" s="11"/>
      <c r="K3" s="11"/>
      <c r="L3" s="11"/>
      <c r="M3" s="11"/>
      <c r="N3" s="11"/>
    </row>
    <row r="4" ht="36" customHeight="1" spans="1:14" x14ac:dyDescent="0.25">
      <c r="A4" s="13" t="s">
        <v>50</v>
      </c>
      <c r="B4" s="11"/>
      <c r="C4" s="11"/>
      <c r="D4" s="11"/>
      <c r="E4" s="11"/>
      <c r="F4" s="11"/>
      <c r="G4" s="12" t="s">
        <v>202</v>
      </c>
      <c r="H4" s="11"/>
      <c r="I4" s="12" t="s">
        <v>202</v>
      </c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ht="72" customHeight="1" spans="1:14" x14ac:dyDescent="0.25">
      <c r="A6" s="13" t="s">
        <v>53</v>
      </c>
      <c r="B6" s="11"/>
      <c r="C6" s="11"/>
      <c r="D6" s="11"/>
      <c r="E6" s="11"/>
      <c r="F6" s="11"/>
      <c r="G6" s="12" t="s">
        <v>203</v>
      </c>
      <c r="H6" s="11"/>
      <c r="I6" s="12" t="s">
        <v>204</v>
      </c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ht="72" customHeight="1" spans="1:14" x14ac:dyDescent="0.25">
      <c r="A9" s="13" t="s">
        <v>57</v>
      </c>
      <c r="B9" s="11"/>
      <c r="C9" s="11"/>
      <c r="D9" s="11"/>
      <c r="E9" s="11"/>
      <c r="F9" s="11"/>
      <c r="G9" s="12" t="s">
        <v>205</v>
      </c>
      <c r="H9" s="11"/>
      <c r="I9" s="12" t="s">
        <v>206</v>
      </c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207</v>
      </c>
      <c r="H15" s="11"/>
      <c r="I15" s="12" t="s">
        <v>207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 t="s">
        <v>208</v>
      </c>
      <c r="H17" s="11"/>
      <c r="I17" s="12" t="s">
        <v>208</v>
      </c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85</v>
      </c>
      <c r="H26" s="11"/>
      <c r="I26" s="12" t="s">
        <v>85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72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209</v>
      </c>
      <c r="H38" s="11"/>
      <c r="I38" s="12" t="s">
        <v>55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72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209</v>
      </c>
      <c r="H40" s="11"/>
      <c r="I40" s="12" t="s">
        <v>55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"/>
  </sheetPr>
  <dimension ref="A1:N40"/>
  <sheetViews>
    <sheetView workbookViewId="0" zoomScale="70" zoomScaleNormal="70">
      <pane xSplit="1" ySplit="2" topLeftCell="B30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spans="1:14" x14ac:dyDescent="0.25">
      <c r="A3" s="10" t="s">
        <v>48</v>
      </c>
      <c r="B3" s="11"/>
      <c r="C3" s="11"/>
      <c r="D3" s="11"/>
      <c r="E3" s="11"/>
      <c r="F3" s="11"/>
      <c r="G3" s="12" t="s">
        <v>211</v>
      </c>
      <c r="H3" s="11"/>
      <c r="I3" s="12" t="s">
        <v>212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55</v>
      </c>
      <c r="H18" s="11"/>
      <c r="I18" s="12" t="s">
        <v>212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54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213</v>
      </c>
      <c r="H38" s="11"/>
      <c r="I38" s="12" t="s">
        <v>212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54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213</v>
      </c>
      <c r="H40" s="11"/>
      <c r="I40" s="12" t="s">
        <v>212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"/>
  </sheetPr>
  <dimension ref="A1:N40"/>
  <sheetViews>
    <sheetView workbookViewId="0" zoomScale="100" zoomScaleNormal="100">
      <pane xSplit="1" ySplit="2" topLeftCell="B15" activePane="bottomRight" state="frozen"/>
      <selection pane="bottomRight" activeCell="A1" sqref="A1"/>
    </sheetView>
  </sheetViews>
  <sheetFormatPr defaultRowHeight="18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41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</row>
    <row r="3" ht="36" customHeight="1" spans="1:14" x14ac:dyDescent="0.25">
      <c r="A3" s="10" t="s">
        <v>48</v>
      </c>
      <c r="B3" s="11"/>
      <c r="C3" s="11"/>
      <c r="D3" s="11"/>
      <c r="E3" s="11"/>
      <c r="F3" s="11"/>
      <c r="G3" s="12" t="s">
        <v>215</v>
      </c>
      <c r="H3" s="11"/>
      <c r="I3" s="12" t="s">
        <v>215</v>
      </c>
      <c r="J3" s="11"/>
      <c r="K3" s="11"/>
      <c r="L3" s="11"/>
      <c r="M3" s="11"/>
      <c r="N3" s="11"/>
    </row>
    <row r="4" spans="1:14" x14ac:dyDescent="0.25">
      <c r="A4" s="13" t="s">
        <v>50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52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53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54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56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57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59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60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61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62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63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64</v>
      </c>
      <c r="B15" s="11"/>
      <c r="C15" s="11"/>
      <c r="D15" s="11"/>
      <c r="E15" s="11"/>
      <c r="F15" s="11"/>
      <c r="G15" s="12" t="s">
        <v>55</v>
      </c>
      <c r="H15" s="11"/>
      <c r="I15" s="12" t="s">
        <v>55</v>
      </c>
      <c r="J15" s="11"/>
      <c r="K15" s="11"/>
      <c r="L15" s="11"/>
      <c r="M15" s="11"/>
      <c r="N15" s="11"/>
    </row>
    <row r="16" spans="1:14" x14ac:dyDescent="0.25">
      <c r="A16" s="13" t="s">
        <v>66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67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69</v>
      </c>
      <c r="B18" s="11"/>
      <c r="C18" s="11"/>
      <c r="D18" s="11"/>
      <c r="E18" s="11"/>
      <c r="F18" s="11"/>
      <c r="G18" s="12" t="s">
        <v>55</v>
      </c>
      <c r="H18" s="11"/>
      <c r="I18" s="12" t="s">
        <v>55</v>
      </c>
      <c r="J18" s="11"/>
      <c r="K18" s="11"/>
      <c r="L18" s="11"/>
      <c r="M18" s="11"/>
      <c r="N18" s="11"/>
    </row>
    <row r="19" spans="1:14" x14ac:dyDescent="0.25">
      <c r="A19" s="14" t="s">
        <v>71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73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74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76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78</v>
      </c>
      <c r="B23" s="11"/>
      <c r="C23" s="11"/>
      <c r="D23" s="11"/>
      <c r="E23" s="11"/>
      <c r="F23" s="11"/>
      <c r="G23" s="12" t="s">
        <v>216</v>
      </c>
      <c r="H23" s="11"/>
      <c r="I23" s="12" t="s">
        <v>216</v>
      </c>
      <c r="J23" s="11"/>
      <c r="K23" s="11"/>
      <c r="L23" s="11"/>
      <c r="M23" s="11"/>
      <c r="N23" s="11"/>
    </row>
    <row r="24" spans="1:14" x14ac:dyDescent="0.25">
      <c r="A24" s="14" t="s">
        <v>80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82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84</v>
      </c>
      <c r="B26" s="11"/>
      <c r="C26" s="11"/>
      <c r="D26" s="11"/>
      <c r="E26" s="11"/>
      <c r="F26" s="11"/>
      <c r="G26" s="12" t="s">
        <v>85</v>
      </c>
      <c r="H26" s="11"/>
      <c r="I26" s="12" t="s">
        <v>85</v>
      </c>
      <c r="J26" s="11"/>
      <c r="K26" s="11"/>
      <c r="L26" s="11"/>
      <c r="M26" s="11"/>
      <c r="N26" s="11"/>
    </row>
    <row r="27" spans="1:14" x14ac:dyDescent="0.25">
      <c r="A27" s="13" t="s">
        <v>86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87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89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90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spans="1:14" x14ac:dyDescent="0.25">
      <c r="A31" s="17" t="s">
        <v>91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92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93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94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96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97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99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6" customHeight="1" spans="1:14" x14ac:dyDescent="0.25">
      <c r="A38" s="20" t="s">
        <v>100</v>
      </c>
      <c r="B38" s="11"/>
      <c r="C38" s="11"/>
      <c r="D38" s="11"/>
      <c r="E38" s="11"/>
      <c r="F38" s="11"/>
      <c r="G38" s="12" t="s">
        <v>217</v>
      </c>
      <c r="H38" s="11"/>
      <c r="I38" s="12" t="s">
        <v>217</v>
      </c>
      <c r="J38" s="11"/>
      <c r="K38" s="11"/>
      <c r="L38" s="11"/>
      <c r="M38" s="11"/>
      <c r="N38" s="11"/>
    </row>
    <row r="39" spans="1:14" x14ac:dyDescent="0.25">
      <c r="A39" s="21" t="s">
        <v>102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36" customHeight="1" spans="1:14" x14ac:dyDescent="0.25">
      <c r="A40" s="22" t="s">
        <v>103</v>
      </c>
      <c r="B40" s="11"/>
      <c r="C40" s="11"/>
      <c r="D40" s="11"/>
      <c r="E40" s="11"/>
      <c r="F40" s="11"/>
      <c r="G40" s="12" t="s">
        <v>217</v>
      </c>
      <c r="H40" s="11"/>
      <c r="I40" s="12" t="s">
        <v>217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目录</vt:lpstr>
      <vt:lpstr>合计</vt:lpstr>
      <vt:lpstr>浙江销售分公司配餐业务</vt:lpstr>
      <vt:lpstr>浙江湖州销售分公司配餐业务_合并</vt:lpstr>
      <vt:lpstr>浙江湖州销售分公司配餐业务_222200150510</vt:lpstr>
      <vt:lpstr>浙江湖州销售分公司配餐业务_222200150542</vt:lpstr>
      <vt:lpstr>浙江湖州销售分公司配餐业务_SH3B26Z001</vt:lpstr>
      <vt:lpstr>浙江杭州销售分公司劳务输出_合并</vt:lpstr>
      <vt:lpstr>浙江杭州销售分公司劳务输出_222200150526</vt:lpstr>
      <vt:lpstr>浙江杭州销售分公司劳务输出_SH3B25Z076</vt:lpstr>
      <vt:lpstr>东北销售浙江宁波分公司配餐业务_合并</vt:lpstr>
      <vt:lpstr>东北销售浙江宁波分公司配餐业务_222200150527</vt:lpstr>
      <vt:lpstr>东北销售浙江宁波分公司配餐业务_SH3B26Z005</vt:lpstr>
      <vt:lpstr>东北销售浙江宁波分公司办公物业_合并</vt:lpstr>
      <vt:lpstr>东北销售浙江宁波分公司办公物业_222200150530</vt:lpstr>
      <vt:lpstr>东北销售浙江宁波分公司办公物业_SH3B26Z006</vt:lpstr>
      <vt:lpstr>浙江杭州地质研究院办公物业项目</vt:lpstr>
      <vt:lpstr>中石化天然气分公司浙江销售配餐项目_合并</vt:lpstr>
      <vt:lpstr>中石化天然气分公司浙江销售配餐项目_222200150535</vt:lpstr>
      <vt:lpstr>中石化天然气分公司浙江销售配餐项目_SH3B26Z002</vt:lpstr>
      <vt:lpstr>浙江杭州地质研究院配餐项目</vt:lpstr>
      <vt:lpstr>浙江绍兴销售分公司配餐劳务输出项目_合并</vt:lpstr>
      <vt:lpstr>浙江绍兴销售分公司配餐劳务输出项目_222200150540</vt:lpstr>
      <vt:lpstr>浙江绍兴销售分公司配餐劳务输出项目_SH3B26Z008</vt:lpstr>
      <vt:lpstr>浙江金华销售分公司配餐劳务输出项目_合并</vt:lpstr>
      <vt:lpstr>浙江金华销售分公司配餐劳务输出项目_222200150541</vt:lpstr>
      <vt:lpstr>浙江金华销售分公司配餐劳务输出项目_SH3B26Z004</vt:lpstr>
      <vt:lpstr>黄山阳光酒店分公司</vt:lpstr>
      <vt:lpstr>黄山项目部销售项目</vt:lpstr>
      <vt:lpstr>东北销售宁波分计量项目</vt:lpstr>
      <vt:lpstr>浙江衢州销售分公司配餐劳务项目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Administrator</cp:lastModifiedBy>
  <dcterms:created xsi:type="dcterms:W3CDTF">2026-07-20T08:17:00Z</dcterms:created>
  <dcterms:modified xsi:type="dcterms:W3CDTF">2026-09-03T07:10:21Z</dcterms:modified>
</cp:coreProperties>
</file>