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activeTab="1"/>
  </bookViews>
  <sheets>
    <sheet sheetId="2" name="目录" state="visible" r:id="rId4"/>
    <sheet sheetId="3" name="合计" state="visible" r:id="rId5"/>
    <sheet sheetId="4" name="常州酒店" state="visible" r:id="rId6"/>
    <sheet sheetId="5" name="江苏常州酒店能源转售" state="visible" r:id="rId7"/>
    <sheet sheetId="6" name="江苏常州销售分公司配餐项目" state="visible" r:id="rId8"/>
    <sheet sheetId="7" name="常州酒店项目部销售费用" state="visible" r:id="rId9"/>
    <sheet sheetId="8" name="南京中石油三江口汇能码头物业项目" state="visible" r:id="rId10"/>
  </sheets>
  <calcPr calcId="171027"/>
</workbook>
</file>

<file path=xl/sharedStrings.xml><?xml version="1.0" encoding="utf-8"?>
<sst xmlns="http://schemas.openxmlformats.org/spreadsheetml/2006/main" count="377" uniqueCount="109">
  <si>
    <t>工作表目录</t>
  </si>
  <si>
    <t>序号</t>
  </si>
  <si>
    <t>工作表名称</t>
  </si>
  <si>
    <t>快捷跳转</t>
  </si>
  <si>
    <t>合计</t>
  </si>
  <si>
    <t>常州酒店</t>
  </si>
  <si>
    <t>江苏常州酒店能源转售</t>
  </si>
  <si>
    <t>江苏常州销售分公司配餐项目</t>
  </si>
  <si>
    <t>常州酒店项目部销售费用</t>
  </si>
  <si>
    <t>南京中石油三江口汇能码头物业项目</t>
  </si>
  <si>
    <t>非考核口径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</si>
  <si>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</si>
  <si>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</si>
  <si>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</si>
  <si>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</si>
  <si>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</si>
  <si>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</si>
  <si>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</si>
  <si>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</si>
  <si>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</si>
  <si>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</si>
  <si>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</si>
  <si>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</si>
  <si>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</si>
  <si>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</si>
  <si>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</si>
  <si>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</si>
  <si>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</si>
  <si>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</si>
  <si>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</si>
  <si>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</si>
  <si>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</si>
  <si>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</si>
  <si>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</si>
  <si>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</si>
  <si>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</si>
  <si>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</si>
  <si>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</si>
  <si>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</si>
  <si>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</si>
  <si>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</si>
  <si>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</si>
  <si>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</si>
  <si>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</si>
  <si>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</si>
  <si>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</si>
  <si>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</si>
  <si>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</si>
  <si>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</si>
  <si>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</si>
  <si>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</si>
  <si>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</si>
  <si>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</si>
  <si>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</si>
  <si>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</si>
  <si>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</si>
  <si>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</si>
  <si>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</si>
  <si>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</si>
  <si>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</si>
  <si>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</si>
  <si>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</si>
  <si>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</si>
  <si>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常州酒店预算执行分析（2026年07月）</t>
  </si>
  <si>
    <t>酒店自2025年2月26日自营，其中存在2个月的停业影响。收入增加153万元，客房收入增加45万元，租赁收入增加112万元，租赁收入增加为桔子和影音酒店的合作经营加入影响。</t>
  </si>
  <si>
    <t>客房收入减少97万元，主要是团队收入远低于预算；餐饮收入减少109万元，早餐、团队餐、零点餐收入均低于预算；租赁收入减少37万元，其他收入减少5万元</t>
  </si>
  <si>
    <t>比上年同期减少餐饮食材采购</t>
  </si>
  <si>
    <t>减少食品的消耗</t>
  </si>
  <si>
    <t>比上年同期减少客用品消耗</t>
  </si>
  <si>
    <t>客房收入缺口大，消耗品也少于预期</t>
  </si>
  <si>
    <t>比上年同期减少商品成本</t>
  </si>
  <si>
    <t>增加的主要是床垫、防毒面罩、应急手电等低值易耗品及销售商品成本</t>
  </si>
  <si>
    <t>上年同期1-2月未经营，且本年度气温较往年较低，空调开启时段加长，用气量增加</t>
  </si>
  <si>
    <t>本年度气温较往年较低，空调开启时段加长，用气量增加</t>
  </si>
  <si>
    <t>上年同期1-2月未经营，动力随经营收入增加能耗，且设备运行效率偏低，能耗率高</t>
  </si>
  <si>
    <t>收入未达预期带来的能耗减少</t>
  </si>
  <si>
    <t>增加布草调配运输费</t>
  </si>
  <si>
    <t>随整体经营收入增加而增加</t>
  </si>
  <si>
    <t>可抵扣进项税增加，增值税及相应附加税减少</t>
  </si>
  <si>
    <t>其中上年同期劳务派遣转为外包人工</t>
  </si>
  <si>
    <t>合同化减少1人</t>
  </si>
  <si>
    <t>其中上年同期劳务派遣转为外包人工，较同期增加餐饮业务外包费用累计40万元，增加销售外包人员共计16万元</t>
  </si>
  <si>
    <t>其中主要是餐饮收入减少带来的餐饮业务外包费用减少</t>
  </si>
  <si>
    <t>增加隐患类整改14万元，大堂、二楼装饰改造工程10.89万元</t>
  </si>
  <si>
    <t>增加隐患类整改14万元，</t>
  </si>
  <si>
    <t>客房出租率减少，布草洗涤量减少；适当降低团队布草更换频率及布草配置以下降洗涤费用</t>
  </si>
  <si>
    <t>增加四害消杀0.58万元，二次水箱清洗0.69万元</t>
  </si>
  <si>
    <t>办公费及差旅费均有所减少</t>
  </si>
  <si>
    <t>房产税减少，受桔子、影音酒店的从租、从价政策的影响</t>
  </si>
  <si>
    <t>从租、从价政策的影响</t>
  </si>
  <si>
    <t>一项长期待摊费用到期，减少待摊费用</t>
  </si>
  <si>
    <t>部分固定资产提足折旧，一项长期待摊费用到期</t>
  </si>
  <si>
    <t>减少为上年6月暂估的餐饮费用24万元</t>
  </si>
  <si>
    <t>减少财产保险4万元，审计费1.6万元，销售推广费7.7</t>
  </si>
  <si>
    <t>随应收账款余额的下降而下降</t>
  </si>
  <si>
    <t>随应收账款余额的上升而上升，需加速应收账款回收</t>
  </si>
  <si>
    <t>随收入增加而增加各平台手续费</t>
  </si>
  <si>
    <t>收入未达预算，平台手续费也减少</t>
  </si>
  <si>
    <t>地铁影响的补偿7.95万元</t>
  </si>
  <si>
    <t>招录贫困地区人员享受的增值税减免政策4月截止</t>
  </si>
  <si>
    <t>江苏常州酒店能源转售预算执行分析（2026年07月）</t>
  </si>
  <si>
    <t>能源转售收入为桔子和影音酒店的合作经营加入影响。</t>
  </si>
  <si>
    <t>桔子和影音及各租户能耗量增加</t>
  </si>
  <si>
    <t>随收入的增加，能耗也相应增加</t>
  </si>
  <si>
    <t>江苏常州销售分公司配餐项目预算执行分析（2026年07月）</t>
  </si>
  <si>
    <t>常州酒店项目部销售费用预算执行分析（2026年07月）</t>
  </si>
  <si>
    <t>南京中石油三江口汇能码头物业项目预算执行分析（2026年07月）</t>
  </si>
  <si>
    <t>新增项目</t>
  </si>
  <si>
    <t>新增项目，随收入增加对应成本增加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</si>
</sst>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5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  <font>
      <charset val="134"/>
      <color theme="1"/>
      <scheme val="minor"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4" fillId="0" borderId="0" xfId="0" applyFont="1" applyAlignment="1">
      <alignment vertical="center"/>
    </xf>
    <xf numFmtId="164" fontId="10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 zoomScale="100" zoomScaleNormal="100">
      <selection activeCell="C4" sqref="C4"/>
    </sheetView>
  </sheetViews>
  <sheetFormatPr defaultRowHeight="13.5" outlineLevelRow="7" outlineLevelCol="3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HYPERLINK("#'常州酒店'!A1","点击跳转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HYPERLINK("#'江苏常州酒店能源转售'!A1","点击跳转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HYPERLINK("#'江苏常州销售分公司配餐项目'!A1","点击跳转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HYPERLINK("#'常州酒店项目部销售费用'!A1","点击跳转 ➔")</f>
        <v>点击跳转 ➔</v>
      </c>
    </row>
    <row r="8" ht="22" customHeight="1" spans="1:4" x14ac:dyDescent="0.25">
      <c r="A8" s="3"/>
      <c r="B8" s="4" t="s">
        <v>9</v>
      </c>
      <c r="C8" s="5" t="str">
        <f>HYPERLINK("#'南京中石油三江口汇能码头物业项目'!A1","点击跳转 ➔")</f>
        <v>点击跳转 ➔</v>
      </c>
      <c r="D8" t="s">
        <v>10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18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</row>
    <row r="3" spans="1:14" x14ac:dyDescent="0.25">
      <c r="A3" s="10" t="s">
        <v>25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29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30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31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32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33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37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38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39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43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45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46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47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48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49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50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62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4" sqref="G3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39.375" customWidth="1"/>
    <col min="8" max="8" width="15" customWidth="1"/>
    <col min="9" max="9" width="31.25" customWidth="1"/>
    <col min="10" max="14" width="15" customWidth="1"/>
  </cols>
  <sheetData>
    <row r="1" ht="41" customHeight="1" spans="1:14" x14ac:dyDescent="0.25">
      <c r="A1" s="7" t="s">
        <v>63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18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</row>
    <row r="3" ht="112.5" customHeight="1" spans="1:14" s="23" customFormat="1" x14ac:dyDescent="0.25">
      <c r="A3" s="10" t="s">
        <v>25</v>
      </c>
      <c r="B3" s="24"/>
      <c r="C3" s="24"/>
      <c r="D3" s="24"/>
      <c r="E3" s="24"/>
      <c r="F3" s="24"/>
      <c r="G3" s="12" t="s">
        <v>64</v>
      </c>
      <c r="H3" s="24"/>
      <c r="I3" s="12" t="s">
        <v>65</v>
      </c>
      <c r="J3" s="24"/>
      <c r="K3" s="24"/>
      <c r="L3" s="24"/>
      <c r="M3" s="24"/>
      <c r="N3" s="24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 t="s">
        <v>66</v>
      </c>
      <c r="H6" s="11"/>
      <c r="I6" s="12" t="s">
        <v>67</v>
      </c>
      <c r="J6" s="11"/>
      <c r="K6" s="11"/>
      <c r="L6" s="11"/>
      <c r="M6" s="11"/>
      <c r="N6" s="11"/>
    </row>
    <row r="7" ht="37.5" customHeight="1" spans="1:14" x14ac:dyDescent="0.25">
      <c r="A7" s="13" t="s">
        <v>29</v>
      </c>
      <c r="B7" s="11"/>
      <c r="C7" s="11"/>
      <c r="D7" s="11"/>
      <c r="E7" s="11"/>
      <c r="F7" s="11"/>
      <c r="G7" s="12" t="s">
        <v>68</v>
      </c>
      <c r="H7" s="11"/>
      <c r="I7" s="12" t="s">
        <v>69</v>
      </c>
      <c r="J7" s="11"/>
      <c r="K7" s="11"/>
      <c r="L7" s="11"/>
      <c r="M7" s="11"/>
      <c r="N7" s="11"/>
    </row>
    <row r="8" spans="1:14" x14ac:dyDescent="0.25">
      <c r="A8" s="13" t="s">
        <v>30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56.25" customHeight="1" spans="1:14" x14ac:dyDescent="0.25">
      <c r="A9" s="13" t="s">
        <v>31</v>
      </c>
      <c r="B9" s="11"/>
      <c r="C9" s="11"/>
      <c r="D9" s="11"/>
      <c r="E9" s="11"/>
      <c r="F9" s="11"/>
      <c r="G9" s="12" t="s">
        <v>70</v>
      </c>
      <c r="H9" s="11"/>
      <c r="I9" s="12" t="s">
        <v>71</v>
      </c>
      <c r="J9" s="11"/>
      <c r="K9" s="11"/>
      <c r="L9" s="11"/>
      <c r="M9" s="11"/>
      <c r="N9" s="11"/>
    </row>
    <row r="10" ht="56.25" customHeight="1" spans="1:14" s="23" customFormat="1" x14ac:dyDescent="0.25">
      <c r="A10" s="13" t="s">
        <v>32</v>
      </c>
      <c r="B10" s="24"/>
      <c r="C10" s="24"/>
      <c r="D10" s="24"/>
      <c r="E10" s="24"/>
      <c r="F10" s="24"/>
      <c r="G10" s="12" t="s">
        <v>72</v>
      </c>
      <c r="H10" s="24"/>
      <c r="I10" s="12" t="s">
        <v>73</v>
      </c>
      <c r="J10" s="24"/>
      <c r="K10" s="24"/>
      <c r="L10" s="24"/>
      <c r="M10" s="24"/>
      <c r="N10" s="24"/>
    </row>
    <row r="11" ht="56.25" customHeight="1" spans="1:14" s="23" customFormat="1" x14ac:dyDescent="0.25">
      <c r="A11" s="13" t="s">
        <v>33</v>
      </c>
      <c r="B11" s="24"/>
      <c r="C11" s="24"/>
      <c r="D11" s="24"/>
      <c r="E11" s="24"/>
      <c r="F11" s="24"/>
      <c r="G11" s="12" t="s">
        <v>74</v>
      </c>
      <c r="H11" s="24"/>
      <c r="I11" s="12" t="s">
        <v>75</v>
      </c>
      <c r="J11" s="24"/>
      <c r="K11" s="24"/>
      <c r="L11" s="24"/>
      <c r="M11" s="24"/>
      <c r="N11" s="24"/>
    </row>
    <row r="12" spans="1:14" x14ac:dyDescent="0.25">
      <c r="A12" s="13" t="s">
        <v>34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36</v>
      </c>
      <c r="B14" s="11"/>
      <c r="C14" s="11"/>
      <c r="D14" s="11"/>
      <c r="E14" s="11"/>
      <c r="F14" s="11"/>
      <c r="G14" s="12" t="s">
        <v>76</v>
      </c>
      <c r="H14" s="11"/>
      <c r="I14" s="12" t="s">
        <v>76</v>
      </c>
      <c r="J14" s="11"/>
      <c r="K14" s="11"/>
      <c r="L14" s="11"/>
      <c r="M14" s="11"/>
      <c r="N14" s="11"/>
    </row>
    <row r="15" ht="37.5" customHeight="1" spans="1:14" x14ac:dyDescent="0.25">
      <c r="A15" s="13" t="s">
        <v>37</v>
      </c>
      <c r="B15" s="11"/>
      <c r="C15" s="11"/>
      <c r="D15" s="11"/>
      <c r="E15" s="11"/>
      <c r="F15" s="11"/>
      <c r="G15" s="12" t="s">
        <v>77</v>
      </c>
      <c r="H15" s="11"/>
      <c r="I15" s="12" t="s">
        <v>78</v>
      </c>
      <c r="J15" s="11"/>
      <c r="K15" s="11"/>
      <c r="L15" s="11"/>
      <c r="M15" s="11"/>
      <c r="N15" s="11"/>
    </row>
    <row r="16" spans="1:14" x14ac:dyDescent="0.25">
      <c r="A16" s="13" t="s">
        <v>38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39</v>
      </c>
      <c r="B17" s="11"/>
      <c r="C17" s="11"/>
      <c r="D17" s="11"/>
      <c r="E17" s="11"/>
      <c r="F17" s="11"/>
      <c r="G17" s="12" t="s">
        <v>79</v>
      </c>
      <c r="H17" s="11"/>
      <c r="I17" s="12" t="s">
        <v>80</v>
      </c>
      <c r="J17" s="11"/>
      <c r="K17" s="11"/>
      <c r="L17" s="11"/>
      <c r="M17" s="11"/>
      <c r="N17" s="11"/>
    </row>
    <row r="18" ht="75" customHeight="1" spans="1:14" s="23" customFormat="1" x14ac:dyDescent="0.25">
      <c r="A18" s="14" t="s">
        <v>40</v>
      </c>
      <c r="B18" s="24"/>
      <c r="C18" s="24"/>
      <c r="D18" s="24"/>
      <c r="E18" s="24"/>
      <c r="F18" s="24"/>
      <c r="G18" s="12" t="s">
        <v>81</v>
      </c>
      <c r="H18" s="24"/>
      <c r="I18" s="12" t="s">
        <v>82</v>
      </c>
      <c r="J18" s="24"/>
      <c r="K18" s="24"/>
      <c r="L18" s="24"/>
      <c r="M18" s="24"/>
      <c r="N18" s="24"/>
    </row>
    <row r="19" ht="37.5" customHeight="1" spans="1:14" s="23" customFormat="1" x14ac:dyDescent="0.25">
      <c r="A19" s="14" t="s">
        <v>41</v>
      </c>
      <c r="B19" s="24"/>
      <c r="C19" s="24"/>
      <c r="D19" s="24"/>
      <c r="E19" s="24"/>
      <c r="F19" s="24"/>
      <c r="G19" s="12" t="s">
        <v>83</v>
      </c>
      <c r="H19" s="24"/>
      <c r="I19" s="12" t="s">
        <v>84</v>
      </c>
      <c r="J19" s="24"/>
      <c r="K19" s="24"/>
      <c r="L19" s="24"/>
      <c r="M19" s="24"/>
      <c r="N19" s="24"/>
    </row>
    <row r="20" spans="1:14" x14ac:dyDescent="0.25">
      <c r="A20" s="14" t="s">
        <v>42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ht="75" customHeight="1" spans="1:14" s="23" customFormat="1" x14ac:dyDescent="0.25">
      <c r="A21" s="14" t="s">
        <v>43</v>
      </c>
      <c r="B21" s="24"/>
      <c r="C21" s="24"/>
      <c r="D21" s="24"/>
      <c r="E21" s="24"/>
      <c r="F21" s="24"/>
      <c r="G21" s="12"/>
      <c r="H21" s="24"/>
      <c r="I21" s="12" t="s">
        <v>85</v>
      </c>
      <c r="J21" s="24"/>
      <c r="K21" s="24"/>
      <c r="L21" s="24"/>
      <c r="M21" s="24"/>
      <c r="N21" s="24"/>
    </row>
    <row r="22" ht="37.5" customHeight="1" spans="1:14" s="23" customFormat="1" x14ac:dyDescent="0.25">
      <c r="A22" s="14" t="s">
        <v>44</v>
      </c>
      <c r="B22" s="24"/>
      <c r="C22" s="24"/>
      <c r="D22" s="24"/>
      <c r="E22" s="24"/>
      <c r="F22" s="24"/>
      <c r="G22" s="12" t="s">
        <v>86</v>
      </c>
      <c r="H22" s="24"/>
      <c r="I22" s="12"/>
      <c r="J22" s="24"/>
      <c r="K22" s="24"/>
      <c r="L22" s="24"/>
      <c r="M22" s="24"/>
      <c r="N22" s="24"/>
    </row>
    <row r="23" spans="1:14" x14ac:dyDescent="0.25">
      <c r="A23" s="14" t="s">
        <v>45</v>
      </c>
      <c r="B23" s="11"/>
      <c r="C23" s="11"/>
      <c r="D23" s="11"/>
      <c r="E23" s="11"/>
      <c r="F23" s="11"/>
      <c r="G23" s="12" t="s">
        <v>87</v>
      </c>
      <c r="H23" s="11"/>
      <c r="I23" s="12" t="s">
        <v>87</v>
      </c>
      <c r="J23" s="11"/>
      <c r="K23" s="11"/>
      <c r="L23" s="11"/>
      <c r="M23" s="11"/>
      <c r="N23" s="11"/>
    </row>
    <row r="24" ht="37.5" customHeight="1" spans="1:14" x14ac:dyDescent="0.25">
      <c r="A24" s="14" t="s">
        <v>46</v>
      </c>
      <c r="B24" s="11"/>
      <c r="C24" s="11"/>
      <c r="D24" s="11"/>
      <c r="E24" s="11"/>
      <c r="F24" s="11"/>
      <c r="G24" s="12" t="s">
        <v>88</v>
      </c>
      <c r="H24" s="11"/>
      <c r="I24" s="12" t="s">
        <v>89</v>
      </c>
      <c r="J24" s="11"/>
      <c r="K24" s="11"/>
      <c r="L24" s="11"/>
      <c r="M24" s="11"/>
      <c r="N24" s="11"/>
    </row>
    <row r="25" ht="37.5" customHeight="1" spans="1:14" x14ac:dyDescent="0.25">
      <c r="A25" s="14" t="s">
        <v>47</v>
      </c>
      <c r="B25" s="11"/>
      <c r="C25" s="11"/>
      <c r="D25" s="11"/>
      <c r="E25" s="11"/>
      <c r="F25" s="11"/>
      <c r="G25" s="12" t="s">
        <v>90</v>
      </c>
      <c r="H25" s="11"/>
      <c r="I25" s="12" t="s">
        <v>91</v>
      </c>
      <c r="J25" s="11"/>
      <c r="K25" s="11"/>
      <c r="L25" s="11"/>
      <c r="M25" s="11"/>
      <c r="N25" s="11"/>
    </row>
    <row r="26" ht="37.5" customHeight="1" spans="1:14" x14ac:dyDescent="0.25">
      <c r="A26" s="14" t="s">
        <v>48</v>
      </c>
      <c r="B26" s="11"/>
      <c r="C26" s="11"/>
      <c r="D26" s="11"/>
      <c r="E26" s="11"/>
      <c r="F26" s="11"/>
      <c r="G26" s="12" t="s">
        <v>92</v>
      </c>
      <c r="H26" s="11"/>
      <c r="I26" s="12" t="s">
        <v>93</v>
      </c>
      <c r="J26" s="11"/>
      <c r="K26" s="11"/>
      <c r="L26" s="11"/>
      <c r="M26" s="11"/>
      <c r="N26" s="11"/>
    </row>
    <row r="27" spans="1:14" x14ac:dyDescent="0.25">
      <c r="A27" s="13" t="s">
        <v>49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50</v>
      </c>
      <c r="B28" s="11"/>
      <c r="C28" s="11"/>
      <c r="D28" s="11"/>
      <c r="E28" s="11"/>
      <c r="F28" s="11"/>
      <c r="G28" s="12" t="s">
        <v>94</v>
      </c>
      <c r="H28" s="11"/>
      <c r="I28" s="12" t="s">
        <v>95</v>
      </c>
      <c r="J28" s="11"/>
      <c r="K28" s="11"/>
      <c r="L28" s="11"/>
      <c r="M28" s="11"/>
      <c r="N28" s="11"/>
    </row>
    <row r="29" spans="1:14" x14ac:dyDescent="0.25">
      <c r="A29" s="15" t="s">
        <v>51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52</v>
      </c>
      <c r="B30" s="11"/>
      <c r="C30" s="11"/>
      <c r="D30" s="11"/>
      <c r="E30" s="11"/>
      <c r="F30" s="11"/>
      <c r="G30" s="12" t="s">
        <v>96</v>
      </c>
      <c r="H30" s="11"/>
      <c r="I30" s="12" t="s">
        <v>97</v>
      </c>
      <c r="J30" s="11"/>
      <c r="K30" s="11"/>
      <c r="L30" s="11"/>
      <c r="M30" s="11"/>
      <c r="N30" s="11"/>
    </row>
    <row r="31" ht="18" customHeight="1" spans="1:14" x14ac:dyDescent="0.25">
      <c r="A31" s="17" t="s">
        <v>53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56</v>
      </c>
      <c r="B34" s="11"/>
      <c r="C34" s="11"/>
      <c r="D34" s="11"/>
      <c r="E34" s="11"/>
      <c r="F34" s="11"/>
      <c r="G34" s="12" t="s">
        <v>98</v>
      </c>
      <c r="H34" s="11"/>
      <c r="I34" s="12" t="s">
        <v>98</v>
      </c>
      <c r="J34" s="11"/>
      <c r="K34" s="11"/>
      <c r="L34" s="11"/>
      <c r="M34" s="11"/>
      <c r="N34" s="11"/>
    </row>
    <row r="35" spans="1:14" x14ac:dyDescent="0.25">
      <c r="A35" s="19" t="s">
        <v>57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37.5" customHeight="1" spans="1:14" x14ac:dyDescent="0.25">
      <c r="A36" s="19" t="s">
        <v>58</v>
      </c>
      <c r="B36" s="11"/>
      <c r="C36" s="11"/>
      <c r="D36" s="11"/>
      <c r="E36" s="11"/>
      <c r="F36" s="11"/>
      <c r="G36" s="12" t="s">
        <v>99</v>
      </c>
      <c r="H36" s="11"/>
      <c r="I36" s="12" t="s">
        <v>99</v>
      </c>
      <c r="J36" s="11"/>
      <c r="K36" s="11"/>
      <c r="L36" s="11"/>
      <c r="M36" s="11"/>
      <c r="N36" s="11"/>
    </row>
    <row r="37" spans="1:14" x14ac:dyDescent="0.25">
      <c r="A37" s="19" t="s">
        <v>59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62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18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</row>
    <row r="3" ht="56.25" customHeight="1" spans="1:14" x14ac:dyDescent="0.25">
      <c r="A3" s="10" t="s">
        <v>25</v>
      </c>
      <c r="B3" s="11"/>
      <c r="C3" s="11"/>
      <c r="D3" s="11"/>
      <c r="E3" s="11"/>
      <c r="F3" s="11"/>
      <c r="G3" s="12" t="s">
        <v>101</v>
      </c>
      <c r="H3" s="11"/>
      <c r="I3" s="12" t="s">
        <v>102</v>
      </c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29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30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31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32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37.5" customHeight="1" spans="1:14" x14ac:dyDescent="0.25">
      <c r="A11" s="13" t="s">
        <v>33</v>
      </c>
      <c r="B11" s="11"/>
      <c r="C11" s="11"/>
      <c r="D11" s="11"/>
      <c r="E11" s="11"/>
      <c r="F11" s="11"/>
      <c r="G11" s="12" t="s">
        <v>103</v>
      </c>
      <c r="H11" s="11"/>
      <c r="I11" s="12" t="s">
        <v>103</v>
      </c>
      <c r="J11" s="11"/>
      <c r="K11" s="11"/>
      <c r="L11" s="11"/>
      <c r="M11" s="11"/>
      <c r="N11" s="11"/>
    </row>
    <row r="12" spans="1:14" x14ac:dyDescent="0.25">
      <c r="A12" s="13" t="s">
        <v>34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37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38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39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43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45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46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47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48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49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50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62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H18" sqref="H1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18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</row>
    <row r="3" spans="1:14" x14ac:dyDescent="0.25">
      <c r="A3" s="10" t="s">
        <v>25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29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30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31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32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33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37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38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39</v>
      </c>
      <c r="B17" s="11"/>
      <c r="C17" s="11"/>
      <c r="D17" s="11"/>
      <c r="E17" s="11"/>
      <c r="F17" s="11"/>
      <c r="G17" s="12" t="s">
        <v>79</v>
      </c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40</v>
      </c>
      <c r="B18" s="11"/>
      <c r="C18" s="11"/>
      <c r="D18" s="11"/>
      <c r="E18" s="11"/>
      <c r="F18" s="11"/>
      <c r="G18" s="12" t="s">
        <v>79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43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45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46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47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48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49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50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62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18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</row>
    <row r="3" spans="1:14" x14ac:dyDescent="0.25">
      <c r="A3" s="10" t="s">
        <v>25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29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30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31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32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33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37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38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39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43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45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46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47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48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49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50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62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24" sqref="G2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12</v>
      </c>
      <c r="B2" s="9" t="s">
        <v>13</v>
      </c>
      <c r="C2" s="9" t="s">
        <v>14</v>
      </c>
      <c r="D2" s="9" t="s">
        <v>15</v>
      </c>
      <c r="E2" s="9" t="s">
        <v>16</v>
      </c>
      <c r="F2" s="9" t="s">
        <v>17</v>
      </c>
      <c r="G2" s="9" t="s">
        <v>18</v>
      </c>
      <c r="H2" s="9" t="s">
        <v>19</v>
      </c>
      <c r="I2" s="9" t="s">
        <v>18</v>
      </c>
      <c r="J2" s="9" t="s">
        <v>20</v>
      </c>
      <c r="K2" s="9" t="s">
        <v>21</v>
      </c>
      <c r="L2" s="9" t="s">
        <v>22</v>
      </c>
      <c r="M2" s="9" t="s">
        <v>23</v>
      </c>
      <c r="N2" s="9" t="s">
        <v>24</v>
      </c>
    </row>
    <row r="3" spans="1:14" x14ac:dyDescent="0.25">
      <c r="A3" s="10" t="s">
        <v>25</v>
      </c>
      <c r="B3" s="11"/>
      <c r="C3" s="11"/>
      <c r="D3" s="11"/>
      <c r="E3" s="11"/>
      <c r="F3" s="11"/>
      <c r="G3" s="12" t="s">
        <v>107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27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28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29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30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31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32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33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34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35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36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37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38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39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40</v>
      </c>
      <c r="B18" s="11"/>
      <c r="C18" s="11"/>
      <c r="D18" s="11"/>
      <c r="E18" s="11"/>
      <c r="F18" s="11"/>
      <c r="G18" s="12" t="s">
        <v>108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43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44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45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46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47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48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49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50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51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52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62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目录</vt:lpstr>
      <vt:lpstr>合计</vt:lpstr>
      <vt:lpstr>常州酒店</vt:lpstr>
      <vt:lpstr>江苏常州酒店能源转售</vt:lpstr>
      <vt:lpstr>江苏常州销售分公司配餐项目</vt:lpstr>
      <vt:lpstr>常州酒店项目部销售费用</vt:lpstr>
      <vt:lpstr>南京中石油三江口汇能码头物业项目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幽</cp:lastModifiedBy>
  <dcterms:created xsi:type="dcterms:W3CDTF">2026-07-20T08:17:00Z</dcterms:created>
  <dcterms:modified xsi:type="dcterms:W3CDTF">2026-08-11T14:07:09Z</dcterms:modified>
</cp:coreProperties>
</file>