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8175" activeTab="1"/>
  </bookViews>
  <sheets>
    <sheet sheetId="2" name="目录" state="visible" r:id="rId4"/>
    <sheet sheetId="3" name="合计" state="visible" r:id="rId5"/>
    <sheet sheetId="4" name="蓝海江苏配餐" state="visible" r:id="rId6"/>
    <sheet sheetId="5" name="蓝海江苏物业" state="visible" r:id="rId7"/>
    <sheet sheetId="6" name="华东化工江苏物业" state="visible" r:id="rId8"/>
    <sheet sheetId="7" name="昆仑工程辽阳物业" state="visible" r:id="rId9"/>
    <sheet sheetId="8" name="南通配餐" state="visible" r:id="rId10"/>
    <sheet sheetId="9" name="中石油国际配餐" state="visible" r:id="rId11"/>
    <sheet sheetId="10" name="盐城劳务输出" state="visible" r:id="rId12"/>
    <sheet sheetId="11" name="大连石化江苏配餐" state="visible" r:id="rId13"/>
    <sheet sheetId="12" name="蓝海新市场提质" state="visible" r:id="rId14"/>
    <sheet sheetId="13" name="蓝海生产楼配餐" state="visible" r:id="rId15"/>
    <sheet sheetId="14" name="中油国际江苏物业" state="visible" r:id="rId16"/>
    <sheet sheetId="15" name="中油电能江苏配餐" state="visible" r:id="rId17"/>
    <sheet sheetId="16" name="昆仑物流江苏配餐" state="visible" r:id="rId18"/>
    <sheet sheetId="17" name="昆冈制造江苏配餐" state="visible" r:id="rId19"/>
    <sheet sheetId="18" name="兰州石化江苏配餐" state="visible" r:id="rId20"/>
  </sheets>
  <calcPr calcId="171027"/>
</workbook>
</file>

<file path=xl/sharedStrings.xml><?xml version="1.0" encoding="utf-8"?>
<sst xmlns="http://schemas.openxmlformats.org/spreadsheetml/2006/main" count="918" uniqueCount="127">
  <si>
    <t>工作表目录</t>
  </si>
  <si>
    <t>序号</t>
  </si>
  <si>
    <t>工作表名称</t>
  </si>
  <si>
    <t>快捷跳转</t>
  </si>
  <si>
    <t>合计</t>
  </si>
  <si>
    <t>蓝海江苏配餐</t>
  </si>
  <si>
    <t>蓝海江苏物业</t>
  </si>
  <si>
    <t>华东化工江苏物业</t>
  </si>
  <si>
    <t>昆仑工程辽阳物业</t>
  </si>
  <si>
    <t>南通配餐</t>
  </si>
  <si>
    <t>中石油国际配餐</t>
  </si>
  <si>
    <t>盐城劳务输出</t>
  </si>
  <si>
    <t>大连石化江苏配餐</t>
  </si>
  <si>
    <t>蓝海新市场提质</t>
  </si>
  <si>
    <t>蓝海生产楼配餐</t>
  </si>
  <si>
    <t>中油国际江苏物业</t>
  </si>
  <si>
    <t>中油电能江苏配餐</t>
  </si>
  <si>
    <t>昆仑物流江苏配餐</t>
  </si>
  <si>
    <t>昆冈制造江苏配餐</t>
  </si>
  <si>
    <t>兰州石化江苏配餐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</si>
  <si>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</si>
  <si>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</si>
  <si>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</si>
  <si>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</si>
  <si>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</si>
  <si>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</si>
  <si>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</si>
  <si>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</si>
  <si>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</si>
  <si>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</si>
  <si>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</si>
  <si>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</si>
  <si>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</si>
  <si>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</si>
  <si>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</si>
  <si>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 xml:space="preserve">1.蓝海配餐收入比同期增加267.29万元，蓝海物业收入比同期增加251.37万元，主要是两个项目25年存在部分收入延后确认的情况，基数相对较低。
2.新增昆仑工程物业14.12万元，大连石化配餐405.48万元，蓝海生产管理楼食堂配餐144.48万元，中油国际物业10.09万元，中油电能配餐36.02万元，昆仑物流配餐4.96万元。
3.新设WBS华东化工物业10.4万元，兰州石化4.99万元。</t>
  </si>
  <si>
    <t xml:space="preserve">1.蓝海配餐收入比预算增加167.73万元，因为收入与在蓝海食堂实际用餐的人次有关，而蓝海公司员工人数逐月增加，且用餐次数无法准确估计，预算按保守情况估计。
2.蓝海物业收入比预算增加14.68万元，因为1.蓝海公司提高了人员工资标准，使得人工收入增加；2.项目部拓展了增值服务。
3.大连石化配餐收入比预算增加124.68万元，因为大连石化公司内部流程原因导致延迟确认了2025年11~12月的收入约79万元，故相对应的收入于2026年2月到账，使得收入增加，同时大连石化就餐人数逐渐增加，收入增加。</t>
  </si>
  <si>
    <t xml:space="preserve">     减:（一）经营性采购支出</t>
  </si>
  <si>
    <t xml:space="preserve">         其中：1.外购材料</t>
  </si>
  <si>
    <t xml:space="preserve">1.蓝海配餐外购材料共比预算增加72.99万元，大连石化配餐外购食材比预算增加74.73万元,因为伴随收入增加，食材成本也同步增加。
2.新项目增加外购材料。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</si>
  <si>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</si>
  <si>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</si>
  <si>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</si>
  <si>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</si>
  <si>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</si>
  <si>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</si>
  <si>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</si>
  <si>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</si>
  <si>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</si>
  <si>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>蓝海物业运输费比预算减少83.63万元，因为原计划新增的两辆红旗HQ9未增加。</t>
  </si>
  <si>
    <t xml:space="preserve">        （三）经营性税费</t>
  </si>
  <si>
    <t xml:space="preserve">        （四）油气分成支出</t>
  </si>
  <si>
    <t xml:space="preserve">        （五）用工薪酬成本</t>
  </si>
  <si>
    <t xml:space="preserve">        （六）外包劳务支出</t>
  </si>
  <si>
    <t xml:space="preserve">1.蓝海配餐食堂员工比预算多招了3人。
2.蓝海物业新增厂区保洁工作，增加了保洁人员。</t>
  </si>
  <si>
    <t xml:space="preserve">        （七）维修费</t>
  </si>
  <si>
    <t xml:space="preserve">        （八）租赁费</t>
  </si>
  <si>
    <t>做预算时未考虑公司为员工租赁的宿舍房租成本。</t>
  </si>
  <si>
    <t xml:space="preserve">        （九）物业采暖费</t>
  </si>
  <si>
    <t>按客户要求，蓝海物业跟换了绿植的品种，增加了绿植数量，成本也随之增加。</t>
  </si>
  <si>
    <t xml:space="preserve">        （十）绿化环境卫生费</t>
  </si>
  <si>
    <t>1.随着蓝海公司厂区的建设和使用，垃圾桶数量由预算的9个增长至58个；2.项目部拓展了洒水排污服务，收入增加的同时成本随之增加。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</si>
  <si>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</si>
  <si>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</si>
  <si>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</si>
  <si>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 xml:space="preserve">        （十四）其他固定成本</t>
  </si>
  <si>
    <t>增加了蓝海配餐和生产管理楼配餐合同的投标费用</t>
  </si>
  <si>
    <t>其他固定成本预算出自提质增效项目，本处不做解释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</si>
  <si>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</si>
  <si>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</si>
  <si>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</si>
  <si>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</si>
  <si>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</si>
  <si>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</si>
  <si>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</si>
  <si>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</si>
  <si>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</si>
  <si>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</si>
  <si>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</si>
  <si>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</si>
  <si>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</si>
  <si>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</si>
  <si>
    <t>蓝海江苏配餐预算执行分析（2026年08月）</t>
  </si>
  <si>
    <t>蓝海配餐收入比同期增加267.29万元，主要是该项目25年存在部分收入延后确认的情况，基数相对较低。</t>
  </si>
  <si>
    <t>蓝海配餐收入比预算增加167.73万元，因为收入与在蓝海食堂实际用餐的人次有关，而蓝海公司员工人数逐月增加，且用餐次数无法准确估计，预算按保守情况估计。</t>
  </si>
  <si>
    <t>蓝海配餐外购材料共比预算增加72.99万元，因为伴随收入增加，食材成本也同步增加。</t>
  </si>
  <si>
    <t>蓝海配餐人工成本比预算增加19.9万元，因为1.其中包含部分蓝海生产管理楼食堂未签订合同期间的人工，2.食堂员工比预算多招了3人。</t>
  </si>
  <si>
    <t>蓝海配餐其他固定成本比预算增加8.75万元，因为合同标的金额增加导致投标费用增加。</t>
  </si>
  <si>
    <t>蓝海配餐利润比预算增加66.74万元，因为蓝海公司在岗员工人数增加，食堂就餐人数增多，规模扩张推动利润提升。</t>
  </si>
  <si>
    <t>蓝海江苏物业预算执行分析（2026年08月）</t>
  </si>
  <si>
    <t>蓝海物业收入比同期增加251.37万元，主要是该项目25年存在部分收入延后确认的情况，基数相对较低。</t>
  </si>
  <si>
    <t>蓝海物业收入比预算增加14.68万元，因为1.蓝海公司提高了人员工资标准，使得人工收入增加；2.项目部拓展了增值服务。</t>
  </si>
  <si>
    <t>蓝海物业物料消耗比预算减少8.02万元，因为项目部对物料采购与领用进行控制，降低物料消耗。</t>
  </si>
  <si>
    <t>蓝海物业人工成本比预算增加58.68万元，因为蓝海物业新增厂区保洁工作，增加了保洁人员。</t>
  </si>
  <si>
    <t>蓝海物业租赁费比预算增加12.63万元，因为做预算时未考虑公司为员工租赁的宿舍房租成本。</t>
  </si>
  <si>
    <t>蓝海物业物业采暖费比预算增加2.14万元，因为蓝海公司对绿植的数量和质量提出了新的要求，项目跟换了绿植的品种，增加了绿植数量，成本也随之增加。</t>
  </si>
  <si>
    <t>蓝海物业绿化环境卫生费比预算增加32.57万元，因为1.随着蓝海公司厂区的建设和使用，垃圾桶数量由预算的9个增长至58个；2.项目部拓展了洒水排污服务，收入增加的同时成本随之增加。</t>
  </si>
  <si>
    <t>华东化工江苏物业预算执行分析（2026年08月）</t>
  </si>
  <si>
    <t>去年同期未新增WBS</t>
  </si>
  <si>
    <t>华东化工物业人工成本比预算增加0.66万元，主要是按客户要求，将人员工资由原来的5500元/月，上涨至7200元/月。</t>
  </si>
  <si>
    <t>昆仑工程辽阳物业预算执行分析（2026年08月）</t>
  </si>
  <si>
    <t>新增项目</t>
  </si>
  <si>
    <t>南通配餐预算执行分析（2026年08月）</t>
  </si>
  <si>
    <t>南通销售配餐收入比同期增加6.36万元，主要是因为1.25年5月的收入和成本延后入账；2.南通销售要求调增餐标，收入增加。</t>
  </si>
  <si>
    <t>南通销售配餐收入比预算增加0.31万元，主要是因为南通销售要求调增餐标，收入增加。</t>
  </si>
  <si>
    <t>调增餐标使得食材成本增加。</t>
  </si>
  <si>
    <t>中石油国际配餐预算执行分析（2026年08月）</t>
  </si>
  <si>
    <t>中油国际配餐收入比同期增加1.57万元，主要是因为25年5月的收入和成本延后入账。</t>
  </si>
  <si>
    <t>中油国际配餐收入比预算增加0.96万元，主要是因为就餐人数比预算增加了1人。</t>
  </si>
  <si>
    <t>盐城劳务输出预算执行分析（2026年08月）</t>
  </si>
  <si>
    <t>盐城销售配餐收入比同期增加5.8万元，主要是因为25年5月的收入和成本延后入账。</t>
  </si>
  <si>
    <t>盐城销售配餐收入比预算增加2.53万元，主要是因为续签合同时，调增了服务人员的工资标准。</t>
  </si>
  <si>
    <t>大连石化江苏配餐预算执行分析（2026年08月）</t>
  </si>
  <si>
    <t>大连石化配餐收入比预算增加124.68万元，因为1.大连石化公司内部流程原因导致延迟确认了2025年11~12月的收入约79万元，故相对应的收入于2026年2月到账，使得收入增加，2.大连石化就餐人数逐渐增加，收入增加。</t>
  </si>
  <si>
    <t>因为大连石化配餐依托蓝海食堂运行，前期成本拆分时，将部分人工成本通过食材领用入账，因此本项目的经营性采购支出和人工成本需合并来看，共比预算增加67.56万元，主要是伴随收入增加，食材与人工成本也同步增加。</t>
  </si>
  <si>
    <t>大连石化配餐利润比预算增加61.31万元，因为25年收入的延迟入账，以及食堂就餐人数增多，使得利润提升。</t>
  </si>
  <si>
    <t>蓝海新市场提质预算执行分析（2026年08月）</t>
  </si>
  <si>
    <t>蓝海生产楼配餐预算执行分析（2026年08月）</t>
  </si>
  <si>
    <t>蓝海三食堂配餐收入比预算增加18.48万元，主要是因为预算未包含代采的设施设备约15.5万元。</t>
  </si>
  <si>
    <t>蓝海三食堂配餐人工成本比预算少8.57万元，主要是因为前期成本未入账至该WBS，后期将部分人工成本通过食材领用入账。</t>
  </si>
  <si>
    <t>投标费用</t>
  </si>
  <si>
    <t>中油国际江苏物业预算执行分析（2026年08月）</t>
  </si>
  <si>
    <t>中油电能江苏配餐预算执行分析（2026年08月）</t>
  </si>
  <si>
    <t>昆仑物流江苏配餐预算执行分析（2026年08月）</t>
  </si>
  <si>
    <t>昆冈制造江苏配餐预算执行分析（2026年08月）</t>
  </si>
  <si>
    <t>兰州石化江苏配餐预算执行分析（2026年08月）</t>
  </si>
  <si>
    <t>新开设WBS项目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</si>
</sst>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zoomScale="100" zoomScaleNormal="100">
      <selection activeCell="C11" sqref="C11"/>
    </sheetView>
  </sheetViews>
  <sheetFormatPr defaultRowHeight="13.5" outlineLevelRow="0" outlineLevelCol="2" x14ac:dyDescent="0" defaultColWidth="9" customHeight="1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 t="str">
        <f>HYPERLINK("#'合计'!A1","点击跳转 ➔")</f>
        <v>点击跳转 ➔</v>
      </c>
    </row>
    <row r="4" ht="22" customHeight="1" spans="1:3" x14ac:dyDescent="0.25">
      <c r="A4" s="3"/>
      <c r="B4" s="4" t="s">
        <v>5</v>
      </c>
      <c r="C4" s="5" t="str">
        <f>HYPERLINK("#'蓝海江苏配餐'!A1","点击跳转 ➔")</f>
        <v>点击跳转 ➔</v>
      </c>
    </row>
    <row r="5" ht="22" customHeight="1" spans="1:3" x14ac:dyDescent="0.25">
      <c r="A5" s="3"/>
      <c r="B5" s="4" t="s">
        <v>6</v>
      </c>
      <c r="C5" s="5" t="str">
        <f>HYPERLINK("#'蓝海江苏物业'!A1","点击跳转 ➔")</f>
        <v>点击跳转 ➔</v>
      </c>
    </row>
    <row r="6" ht="22" customHeight="1" spans="1:3" x14ac:dyDescent="0.25">
      <c r="A6" s="3"/>
      <c r="B6" s="4" t="s">
        <v>7</v>
      </c>
      <c r="C6" s="5" t="str">
        <f>HYPERLINK("#'华东化工江苏物业'!A1","点击跳转 ➔")</f>
        <v>点击跳转 ➔</v>
      </c>
    </row>
    <row r="7" ht="22" customHeight="1" spans="1:3" x14ac:dyDescent="0.25">
      <c r="A7" s="3"/>
      <c r="B7" s="4" t="s">
        <v>8</v>
      </c>
      <c r="C7" s="5" t="str">
        <f>HYPERLINK("#'昆仑工程辽阳物业'!A1","点击跳转 ➔")</f>
        <v>点击跳转 ➔</v>
      </c>
    </row>
    <row r="8" ht="22" customHeight="1" spans="1:3" x14ac:dyDescent="0.25">
      <c r="A8" s="3"/>
      <c r="B8" s="4" t="s">
        <v>9</v>
      </c>
      <c r="C8" s="5" t="str">
        <f>HYPERLINK("#'南通配餐'!A1","点击跳转 ➔")</f>
        <v>点击跳转 ➔</v>
      </c>
    </row>
    <row r="9" ht="22" customHeight="1" spans="1:3" x14ac:dyDescent="0.25">
      <c r="A9" s="3"/>
      <c r="B9" s="4" t="s">
        <v>10</v>
      </c>
      <c r="C9" s="5" t="str">
        <f>HYPERLINK("#'中石油国际配餐'!A1","点击跳转 ➔")</f>
        <v>点击跳转 ➔</v>
      </c>
    </row>
    <row r="10" ht="22" customHeight="1" spans="1:3" x14ac:dyDescent="0.25">
      <c r="A10" s="3"/>
      <c r="B10" s="4" t="s">
        <v>11</v>
      </c>
      <c r="C10" s="5" t="str">
        <f>HYPERLINK("#'盐城劳务输出'!A1","点击跳转 ➔")</f>
        <v>点击跳转 ➔</v>
      </c>
    </row>
    <row r="11" ht="22" customHeight="1" spans="1:3" x14ac:dyDescent="0.25">
      <c r="A11" s="3"/>
      <c r="B11" s="4" t="s">
        <v>12</v>
      </c>
      <c r="C11" s="5" t="str">
        <f>HYPERLINK("#'大连石化江苏配餐'!A1","点击跳转 ➔")</f>
        <v>点击跳转 ➔</v>
      </c>
    </row>
    <row r="12" ht="22" customHeight="1" spans="1:3" x14ac:dyDescent="0.25">
      <c r="A12" s="3"/>
      <c r="B12" s="4" t="s">
        <v>13</v>
      </c>
      <c r="C12" s="5" t="str">
        <f>HYPERLINK("#'蓝海新市场提质'!A1","点击跳转 ➔")</f>
        <v>点击跳转 ➔</v>
      </c>
    </row>
    <row r="13" ht="22" customHeight="1" spans="1:3" x14ac:dyDescent="0.25">
      <c r="A13" s="3"/>
      <c r="B13" s="4" t="s">
        <v>14</v>
      </c>
      <c r="C13" s="5" t="str">
        <f>HYPERLINK("#'蓝海生产楼配餐'!A1","点击跳转 ➔")</f>
        <v>点击跳转 ➔</v>
      </c>
    </row>
    <row r="14" ht="22" customHeight="1" spans="1:3" x14ac:dyDescent="0.25">
      <c r="A14" s="3"/>
      <c r="B14" s="4" t="s">
        <v>15</v>
      </c>
      <c r="C14" s="5" t="str">
        <f>HYPERLINK("#'中油国际江苏物业'!A1","点击跳转 ➔")</f>
        <v>点击跳转 ➔</v>
      </c>
    </row>
    <row r="15" ht="22" customHeight="1" spans="1:3" x14ac:dyDescent="0.25">
      <c r="A15" s="3"/>
      <c r="B15" s="4" t="s">
        <v>16</v>
      </c>
      <c r="C15" s="5" t="str">
        <f>HYPERLINK("#'中油电能江苏配餐'!A1","点击跳转 ➔")</f>
        <v>点击跳转 ➔</v>
      </c>
    </row>
    <row r="16" ht="22" customHeight="1" spans="1:3" x14ac:dyDescent="0.25">
      <c r="A16" s="3"/>
      <c r="B16" s="4" t="s">
        <v>17</v>
      </c>
      <c r="C16" s="5" t="str">
        <f>HYPERLINK("#'昆仑物流江苏配餐'!A1","点击跳转 ➔")</f>
        <v>点击跳转 ➔</v>
      </c>
    </row>
    <row r="17" ht="22" customHeight="1" spans="1:3" x14ac:dyDescent="0.25">
      <c r="A17" s="3"/>
      <c r="B17" s="4" t="s">
        <v>18</v>
      </c>
      <c r="C17" s="5" t="str">
        <f>HYPERLINK("#'昆冈制造江苏配餐'!A1","点击跳转 ➔")</f>
        <v>点击跳转 ➔</v>
      </c>
    </row>
    <row r="18" ht="22" customHeight="1" spans="1:3" x14ac:dyDescent="0.25">
      <c r="A18" s="3"/>
      <c r="B18" s="4" t="s">
        <v>19</v>
      </c>
      <c r="C18" s="5" t="str">
        <f>HYPERLINK("#'兰州石化江苏配餐'!A1","点击跳转 ➔")</f>
        <v>点击跳转 ➔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0"/>
  <sheetViews>
    <sheetView workbookViewId="0" zoomScale="60" zoomScaleNormal="60">
      <pane xSplit="1" ySplit="2" topLeftCell="B3" activePane="bottomRight" state="frozen"/>
      <selection pane="bottomRight" activeCell="G26" sqref="G26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409.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35</v>
      </c>
      <c r="H3" s="11"/>
      <c r="I3" s="12" t="s">
        <v>36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ht="158.65" customHeight="1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 t="s">
        <v>39</v>
      </c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ht="70.5" customHeight="1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 t="s">
        <v>49</v>
      </c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88.15" customHeight="1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 t="s">
        <v>54</v>
      </c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ht="52.9" customHeight="1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 t="s">
        <v>57</v>
      </c>
      <c r="J20" s="11"/>
      <c r="K20" s="11"/>
      <c r="L20" s="11"/>
      <c r="M20" s="11"/>
      <c r="N20" s="11"/>
    </row>
    <row r="21" ht="88.15" customHeight="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 t="s">
        <v>59</v>
      </c>
      <c r="J21" s="11"/>
      <c r="K21" s="11"/>
      <c r="L21" s="11"/>
      <c r="M21" s="11"/>
      <c r="N21" s="11"/>
    </row>
    <row r="22" ht="123.4" customHeight="1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 t="s">
        <v>61</v>
      </c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52.9" customHeight="1" spans="1:14" x14ac:dyDescent="0.25">
      <c r="A26" s="14" t="s">
        <v>65</v>
      </c>
      <c r="B26" s="11"/>
      <c r="C26" s="11"/>
      <c r="D26" s="11"/>
      <c r="E26" s="11"/>
      <c r="F26" s="11"/>
      <c r="G26" s="12" t="s">
        <v>66</v>
      </c>
      <c r="H26" s="11"/>
      <c r="I26" s="12" t="s">
        <v>67</v>
      </c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I5" sqref="I5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58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83</v>
      </c>
      <c r="H3" s="11"/>
      <c r="I3" s="12" t="s">
        <v>84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ht="88.15" customHeight="1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 t="s">
        <v>85</v>
      </c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123.4" customHeight="1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 t="s">
        <v>86</v>
      </c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88.15" customHeight="1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 t="s">
        <v>87</v>
      </c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05.75" customHeight="1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 t="s">
        <v>88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7" activePane="bottomRight" state="frozen"/>
      <selection pane="bottomRight" activeCell="H18" sqref="H18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05.7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90</v>
      </c>
      <c r="H3" s="11"/>
      <c r="I3" s="12" t="s">
        <v>91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ht="88.15" customHeight="1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 t="s">
        <v>92</v>
      </c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ht="70.5" customHeight="1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 t="s">
        <v>49</v>
      </c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88.15" customHeight="1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 t="s">
        <v>93</v>
      </c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ht="88.15" customHeight="1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 t="s">
        <v>94</v>
      </c>
      <c r="J20" s="11"/>
      <c r="K20" s="11"/>
      <c r="L20" s="11"/>
      <c r="M20" s="11"/>
      <c r="N20" s="11"/>
    </row>
    <row r="21" ht="141" customHeight="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 t="s">
        <v>95</v>
      </c>
      <c r="J21" s="11"/>
      <c r="K21" s="11"/>
      <c r="L21" s="11"/>
      <c r="M21" s="11"/>
      <c r="N21" s="11"/>
    </row>
    <row r="22" ht="176.25" customHeight="1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 t="s">
        <v>96</v>
      </c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I18" sqref="I18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98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105.75" customHeight="1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 t="s">
        <v>99</v>
      </c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100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I14" sqref="I14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23.4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103</v>
      </c>
      <c r="H3" s="11"/>
      <c r="I3" s="12" t="s">
        <v>104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ht="35.25" customHeight="1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 t="s">
        <v>105</v>
      </c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I4" sqref="I4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88.1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107</v>
      </c>
      <c r="H3" s="11"/>
      <c r="I3" s="12" t="s">
        <v>108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I7" sqref="I7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88.1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110</v>
      </c>
      <c r="H3" s="11"/>
      <c r="I3" s="12" t="s">
        <v>111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H4" sqref="H4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93.9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 t="s">
        <v>113</v>
      </c>
      <c r="J3" s="11"/>
      <c r="K3" s="11"/>
      <c r="L3" s="11"/>
      <c r="M3" s="11"/>
      <c r="N3" s="11"/>
    </row>
    <row r="4" ht="211.5" customHeight="1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 t="s">
        <v>114</v>
      </c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ht="105.75" customHeight="1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 t="s">
        <v>115</v>
      </c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spans="1:14" x14ac:dyDescent="0.25">
      <c r="A3" s="10" t="s">
        <v>34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F3" sqref="F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88.1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 t="s">
        <v>118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105.75" customHeight="1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 t="s">
        <v>119</v>
      </c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17.65" customHeight="1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 t="s">
        <v>120</v>
      </c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 t="s">
        <v>101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 t="s">
        <v>101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101</v>
      </c>
      <c r="H3" s="11"/>
      <c r="I3" s="12" t="s">
        <v>101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spans="1:14" x14ac:dyDescent="0.25">
      <c r="A3" s="10" t="s">
        <v>34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60" zoomScaleNormal="60">
      <pane xSplit="1" ySplit="2" topLeftCell="B3" activePane="bottomRight" state="frozen"/>
      <selection pane="bottomRight" activeCell="B3" sqref="B3"/>
    </sheetView>
  </sheetViews>
  <sheetFormatPr defaultRowHeight="17.6" outlineLevelRow="0" outlineLevelCol="0" x14ac:dyDescent="0" defaultColWidth="9" customHeight="1"/>
  <cols>
    <col min="1" max="1" width="53" style="6" customWidth="1"/>
    <col min="2" max="6" width="15" customWidth="1"/>
    <col min="7" max="7" width="24.3362831858407" customWidth="1"/>
    <col min="8" max="8" width="15" customWidth="1"/>
    <col min="9" max="9" width="24.3362831858407" customWidth="1"/>
    <col min="10" max="14" width="15" customWidth="1"/>
  </cols>
  <sheetData>
    <row r="1" ht="41" customHeight="1" spans="1:14" x14ac:dyDescent="0.25">
      <c r="A1" s="7" t="s">
        <v>125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</row>
    <row r="3" ht="17.65" customHeight="1" spans="1:14" x14ac:dyDescent="0.25">
      <c r="A3" s="10" t="s">
        <v>34</v>
      </c>
      <c r="B3" s="11"/>
      <c r="C3" s="11"/>
      <c r="D3" s="11"/>
      <c r="E3" s="11"/>
      <c r="F3" s="11"/>
      <c r="G3" s="12" t="s">
        <v>126</v>
      </c>
      <c r="H3" s="11"/>
      <c r="I3" s="12" t="s">
        <v>126</v>
      </c>
      <c r="J3" s="11"/>
      <c r="K3" s="11"/>
      <c r="L3" s="11"/>
      <c r="M3" s="11"/>
      <c r="N3" s="11"/>
    </row>
    <row r="4" spans="1:14" x14ac:dyDescent="0.25">
      <c r="A4" s="13" t="s">
        <v>37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38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50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51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52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53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55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56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58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62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63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64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65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68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69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70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71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72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73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74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75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76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77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78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79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80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81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目录</vt:lpstr>
      <vt:lpstr>合计</vt:lpstr>
      <vt:lpstr>蓝海江苏配餐</vt:lpstr>
      <vt:lpstr>蓝海江苏物业</vt:lpstr>
      <vt:lpstr>华东化工江苏物业</vt:lpstr>
      <vt:lpstr>昆仑工程辽阳物业</vt:lpstr>
      <vt:lpstr>南通配餐</vt:lpstr>
      <vt:lpstr>中石油国际配餐</vt:lpstr>
      <vt:lpstr>盐城劳务输出</vt:lpstr>
      <vt:lpstr>大连石化江苏配餐</vt:lpstr>
      <vt:lpstr>蓝海新市场提质</vt:lpstr>
      <vt:lpstr>蓝海生产楼配餐</vt:lpstr>
      <vt:lpstr>中油国际江苏物业</vt:lpstr>
      <vt:lpstr>中油电能江苏配餐</vt:lpstr>
      <vt:lpstr>昆仑物流江苏配餐</vt:lpstr>
      <vt:lpstr>昆冈制造江苏配餐</vt:lpstr>
      <vt:lpstr>兰州石化江苏配餐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安森</cp:lastModifiedBy>
  <dcterms:created xsi:type="dcterms:W3CDTF">2026-07-20T16:17:00Z</dcterms:created>
  <dcterms:modified xsi:type="dcterms:W3CDTF">2026-09-04T08:11:33Z</dcterms:modified>
</cp:coreProperties>
</file>