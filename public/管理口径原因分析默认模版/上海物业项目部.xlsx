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firstSheet="9" activeTab="11"/>
  </bookViews>
  <sheets>
    <sheet sheetId="2" name="目录" state="visible" r:id="rId4"/>
    <sheet sheetId="3" name="合计" state="visible" r:id="rId5"/>
    <sheet sheetId="4" name="上海同盛大厦项目" state="visible" r:id="rId6"/>
    <sheet sheetId="5" name="豪孚迪安保项目" state="visible" r:id="rId7"/>
    <sheet sheetId="6" name="华东化工仓储安保项目" state="visible" r:id="rId8"/>
    <sheet sheetId="7" name="寰球工程物业项目_合并" state="visible" r:id="rId9"/>
    <sheet sheetId="8" name="寰球工程物业项目_222200150224" state="visible" r:id="rId10"/>
    <sheet sheetId="9" name="寰球工程物业项目_222200150225" state="visible" r:id="rId11"/>
    <sheet sheetId="10" name="长泰影院保洁项目" state="visible" r:id="rId12"/>
    <sheet sheetId="11" name="川沙影院保洁项目" state="visible" r:id="rId13"/>
    <sheet sheetId="12" name="上海世纪大道中石油综合物业项目" state="visible" r:id="rId14"/>
    <sheet sheetId="13" name="上海世纪大道中石油综合餐饮项目" state="visible" r:id="rId15"/>
    <sheet sheetId="14" name="世纪大道中石油上海大厦能源转售项目" state="visible" r:id="rId16"/>
    <sheet sheetId="15" name="中石油上海临港新材料研究院配餐项目" state="visible" r:id="rId17"/>
    <sheet sheetId="16" name="中石油上海临港新材料研究院物业项目" state="visible" r:id="rId18"/>
    <sheet sheetId="17" name="陆家嘴金融城白领文化艺术中心物业项目" state="visible" r:id="rId19"/>
  </sheets>
  <calcPr calcId="171027"/>
</workbook>
</file>

<file path=xl/sharedStrings.xml><?xml version="1.0" encoding="utf-8"?>
<sst xmlns="http://schemas.openxmlformats.org/spreadsheetml/2006/main" count="857" uniqueCount="120">
  <si>
    <t>工作表目录</t>
  </si>
  <si>
    <t>序号</t>
  </si>
  <si>
    <t>工作表名称</t>
  </si>
  <si>
    <t>快捷跳转</t>
  </si>
  <si>
    <t>合计</t>
  </si>
  <si>
    <t>上海同盛大厦项目</t>
  </si>
  <si>
    <t>豪孚迪安保项目</t>
  </si>
  <si>
    <t>华东化工仓储安保项目</t>
  </si>
  <si>
    <t>寰球工程物业项目_合并</t>
  </si>
  <si>
    <t>寰球工程物业项目_222200150224</t>
  </si>
  <si>
    <t>寰球工程物业项目_222200150225</t>
  </si>
  <si>
    <t>长泰影院保洁项目</t>
  </si>
  <si>
    <t>川沙影院保洁项目</t>
  </si>
  <si>
    <t>上海世纪大道中石油综合物业项目</t>
  </si>
  <si>
    <t>上海世纪大道中石油综合餐饮项目</t>
  </si>
  <si>
    <t>世纪大道中石油上海大厦能源转售项目</t>
  </si>
  <si>
    <t>中石油上海临港新材料研究院配餐项目</t>
  </si>
  <si>
    <t>中石油上海临港新材料研究院物业项目</t>
  </si>
  <si>
    <t>陆家嘴金融城白领文化艺术中心物业项目</t>
  </si>
  <si>
    <t>合计预算执行分析（2026年08月）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</si>
  <si>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</si>
  <si>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</si>
  <si>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</si>
  <si>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</si>
  <si>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</si>
  <si>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</si>
  <si>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</si>
  <si>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</si>
  <si>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</si>
  <si>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</si>
  <si>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</si>
  <si>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</si>
  <si>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</si>
  <si>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</si>
  <si>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1、新增代售酒水收入167万元；2、增加礼仪人工收入302万元；3、临港增加480万元；4、餐饮增加125万元；5、同盛减少69万元</t>
  </si>
  <si>
    <t>1、上海大厦物业增加234万元；2、临港减少35万元；3、餐饮增加62万元；4、同盛减少51万元</t>
  </si>
  <si>
    <t xml:space="preserve">     减:（一）经营性采购支出</t>
  </si>
  <si>
    <t>1、新增代售酒水成本167万元；2、餐饮多入帐上年成本70万元</t>
  </si>
  <si>
    <t>1、新增代售酒水成本167万元；2、餐饮减少14万元、临港减少12万元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</si>
  <si>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</si>
  <si>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</si>
  <si>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</si>
  <si>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</si>
  <si>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</si>
  <si>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</si>
  <si>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</si>
  <si>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</si>
  <si>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</si>
  <si>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</si>
  <si>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</si>
  <si>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</si>
  <si>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</si>
  <si>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>1、临港增加396万元；2、上海大厦减少72万元</t>
  </si>
  <si>
    <t>主要是上海大厦项目</t>
  </si>
  <si>
    <t xml:space="preserve">        （六）外包劳务支出</t>
  </si>
  <si>
    <t>礼仪人工成本增加221万元</t>
  </si>
  <si>
    <t>主要是礼仪人工的增加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</si>
  <si>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</si>
  <si>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</si>
  <si>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</si>
  <si>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</si>
  <si>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</si>
  <si>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</si>
  <si>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</si>
  <si>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</si>
  <si>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</si>
  <si>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</si>
  <si>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</si>
  <si>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</si>
  <si>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</si>
  <si>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</si>
  <si>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</si>
  <si>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</si>
  <si>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</si>
  <si>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</si>
  <si>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</si>
  <si>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</si>
  <si>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</si>
  <si>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</si>
  <si>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上海同盛大厦项目预算执行分析（2026年08月）</t>
  </si>
  <si>
    <t>出租率、平均单价同比均下降</t>
  </si>
  <si>
    <t>出租率较进度预算下降</t>
  </si>
  <si>
    <t>因出租率下降，空置物业费增加</t>
  </si>
  <si>
    <t>上年同期少一个月税费</t>
  </si>
  <si>
    <t>因出租率下降，中介费减少</t>
  </si>
  <si>
    <t>豪孚迪安保项目预算执行分析（2026年08月）</t>
  </si>
  <si>
    <t>华东化工仓储安保项目预算执行分析（2026年08月）</t>
  </si>
  <si>
    <t>寰球工程物业项目_合并预算执行分析（2026年08月）</t>
  </si>
  <si>
    <t>上年同期部分外包支出未入账</t>
  </si>
  <si>
    <t>寰球工程物业项目_222200150224预算执行分析（2026年08月）</t>
  </si>
  <si>
    <t>寰球工程物业项目_222200150225预算执行分析（2026年08月）</t>
  </si>
  <si>
    <t>长泰影院保洁项目预算执行分析（2026年08月）</t>
  </si>
  <si>
    <t>此项目今年终止</t>
  </si>
  <si>
    <t>川沙影院保洁项目预算执行分析（2026年08月）</t>
  </si>
  <si>
    <t>上海世纪大道中石油综合物业项目预算执行分析（2026年08月）</t>
  </si>
  <si>
    <t>1、新增代售酒水收入167万元；2、增加礼仪人工收入302万元</t>
  </si>
  <si>
    <t>1、新增代售酒水收入167万元；2、增加礼仪人工收入122万元；3、工程维修收入减少70万元</t>
  </si>
  <si>
    <t>新增代售酒水成本167万元</t>
  </si>
  <si>
    <t>通过合理调配加班工时、强化月度绩效考核、从严管控人员编制</t>
  </si>
  <si>
    <t>主要是对应的礼仪人工成本</t>
  </si>
  <si>
    <t>与预算周期不同</t>
  </si>
  <si>
    <t>上海世纪大道中石油综合餐饮项目预算执行分析（2026年08月）</t>
  </si>
  <si>
    <t>今年入账了上年80万收入，且上年同期约50万元当期收入未进账</t>
  </si>
  <si>
    <t>今年入账了上年80万收入</t>
  </si>
  <si>
    <t>今年入账了上年收入对应的成本，且今年食材成本率较低</t>
  </si>
  <si>
    <t>精简人工成本费用</t>
  </si>
  <si>
    <t>今年同比减少了超市租金</t>
  </si>
  <si>
    <t>1、今年食材成本率同比下降约36%；2、商品销售收入增加138万元；3、减少租金费用18万元；4、压降用工成本等经营费用</t>
  </si>
  <si>
    <t>1、今年食材成本率相比预算下降约29%；2、商品销售收入增加86万元；3、压降用工成本等经营费用</t>
  </si>
  <si>
    <t>世纪大道中石油上海大厦能源转售项目预算执行分析（2026年08月）</t>
  </si>
  <si>
    <t>中石油上海临港新材料研究院配餐项目预算执行分析（2026年08月）</t>
  </si>
  <si>
    <t>该项目为上年新增项目</t>
  </si>
  <si>
    <t>中石油上海临港新材料研究院物业项目预算执行分析（2026年08月）</t>
  </si>
  <si>
    <t>甲方今年严格控制成本费用发生</t>
  </si>
  <si>
    <t>甲方同意新增个别缺岗人员编制</t>
  </si>
  <si>
    <t>费用进度周期不同</t>
  </si>
  <si>
    <t>上年同期对应收入未完全进账</t>
  </si>
  <si>
    <t>陆家嘴金融城白领文化艺术中心物业项目预算执行分析（2026年08月）</t>
  </si>
  <si>
    <t>上年同期部分收入未进账</t>
  </si>
  <si>
    <t>上年同期成本费用未进账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</si>
</sst>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 zoomScale="100" zoomScaleNormal="100">
      <selection activeCell="A1" sqref="A1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HYPERLINK("#'上海同盛大厦项目'!A1","点击跳转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HYPERLINK("#'豪孚迪安保项目'!A1","点击跳转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HYPERLINK("#'华东化工仓储安保项目'!A1","点击跳转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HYPERLINK("#'寰球工程物业项目_合并'!A1","点击跳转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HYPERLINK("#'寰球工程物业项目_222200150224'!A1","点击跳转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HYPERLINK("#'寰球工程物业项目_222200150225'!A1","点击跳转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HYPERLINK("#'长泰影院保洁项目'!A1","点击跳转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HYPERLINK("#'川沙影院保洁项目'!A1","点击跳转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HYPERLINK("#'上海世纪大道中石油综合物业项目'!A1","点击跳转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HYPERLINK("#'上海世纪大道中石油综合餐饮项目'!A1","点击跳转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HYPERLINK("#'世纪大道中石油上海大厦能源转售项目'!A1","点击跳转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HYPERLINK("#'中石油上海临港新材料研究院配餐项目'!A1","点击跳转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HYPERLINK("#'中石油上海临港新材料研究院物业项目'!A1","点击跳转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HYPERLINK("#'陆家嘴金融城白领文化艺术中心物业项目'!A1","点击跳转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18" sqref="I1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131.2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34</v>
      </c>
      <c r="H3" s="11"/>
      <c r="I3" s="12" t="s">
        <v>35</v>
      </c>
      <c r="J3" s="11"/>
      <c r="K3" s="11"/>
      <c r="L3" s="11"/>
      <c r="M3" s="11"/>
      <c r="N3" s="11"/>
    </row>
    <row r="4" ht="75" customHeight="1" spans="1:14" x14ac:dyDescent="0.25">
      <c r="A4" s="13" t="s">
        <v>36</v>
      </c>
      <c r="B4" s="11"/>
      <c r="C4" s="11"/>
      <c r="D4" s="11"/>
      <c r="E4" s="11"/>
      <c r="F4" s="11"/>
      <c r="G4" s="12" t="s">
        <v>37</v>
      </c>
      <c r="H4" s="11"/>
      <c r="I4" s="12" t="s">
        <v>38</v>
      </c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6.25" customHeight="1" spans="1:14" x14ac:dyDescent="0.25">
      <c r="A17" s="14" t="s">
        <v>51</v>
      </c>
      <c r="B17" s="11"/>
      <c r="C17" s="11"/>
      <c r="D17" s="11"/>
      <c r="E17" s="11"/>
      <c r="F17" s="11"/>
      <c r="G17" s="12" t="s">
        <v>52</v>
      </c>
      <c r="H17" s="11"/>
      <c r="I17" s="12" t="s">
        <v>53</v>
      </c>
      <c r="J17" s="11"/>
      <c r="K17" s="11"/>
      <c r="L17" s="11"/>
      <c r="M17" s="11"/>
      <c r="N17" s="11"/>
    </row>
    <row r="18" ht="37.5" customHeight="1" spans="1:14" x14ac:dyDescent="0.25">
      <c r="A18" s="14" t="s">
        <v>54</v>
      </c>
      <c r="B18" s="11"/>
      <c r="C18" s="11"/>
      <c r="D18" s="11"/>
      <c r="E18" s="11"/>
      <c r="F18" s="11"/>
      <c r="G18" s="12" t="s">
        <v>55</v>
      </c>
      <c r="H18" s="11"/>
      <c r="I18" s="12" t="s">
        <v>56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3" activePane="bottomRight" state="frozen"/>
      <selection pane="bottomRight" activeCell="I26" sqref="I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37.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80</v>
      </c>
      <c r="H3" s="11"/>
      <c r="I3" s="12" t="s">
        <v>81</v>
      </c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ht="37.5" customHeight="1" spans="1:14" x14ac:dyDescent="0.25">
      <c r="A21" s="14" t="s">
        <v>59</v>
      </c>
      <c r="B21" s="11"/>
      <c r="C21" s="11"/>
      <c r="D21" s="11"/>
      <c r="E21" s="11"/>
      <c r="F21" s="11"/>
      <c r="G21" s="12" t="s">
        <v>82</v>
      </c>
      <c r="H21" s="11"/>
      <c r="I21" s="12" t="s">
        <v>82</v>
      </c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62</v>
      </c>
      <c r="B24" s="11"/>
      <c r="C24" s="11"/>
      <c r="D24" s="11"/>
      <c r="E24" s="11"/>
      <c r="F24" s="11"/>
      <c r="G24" s="12" t="s">
        <v>83</v>
      </c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7.5" customHeight="1" spans="1:14" x14ac:dyDescent="0.25">
      <c r="A26" s="14" t="s">
        <v>64</v>
      </c>
      <c r="B26" s="11"/>
      <c r="C26" s="11"/>
      <c r="D26" s="11"/>
      <c r="E26" s="11"/>
      <c r="F26" s="11"/>
      <c r="G26" s="12" t="s">
        <v>84</v>
      </c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1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7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19" sqref="G1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54</v>
      </c>
      <c r="B18" s="11"/>
      <c r="C18" s="11"/>
      <c r="D18" s="11"/>
      <c r="E18" s="11"/>
      <c r="F18" s="11"/>
      <c r="G18" s="12" t="s">
        <v>88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C29" sqref="C2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5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9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 t="s">
        <v>92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 t="s">
        <v>92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5" activePane="bottomRight" state="frozen"/>
      <selection pane="bottomRight" activeCell="I19" sqref="I1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93.7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95</v>
      </c>
      <c r="H3" s="11"/>
      <c r="I3" s="12" t="s">
        <v>96</v>
      </c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7.5" customHeight="1" spans="1:14" x14ac:dyDescent="0.25">
      <c r="A9" s="13" t="s">
        <v>43</v>
      </c>
      <c r="B9" s="11"/>
      <c r="C9" s="11"/>
      <c r="D9" s="11"/>
      <c r="E9" s="11"/>
      <c r="F9" s="11"/>
      <c r="G9" s="12" t="s">
        <v>97</v>
      </c>
      <c r="H9" s="11"/>
      <c r="I9" s="12" t="s">
        <v>97</v>
      </c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75" customHeight="1" spans="1:14" x14ac:dyDescent="0.25">
      <c r="A17" s="14" t="s">
        <v>51</v>
      </c>
      <c r="B17" s="11"/>
      <c r="C17" s="11"/>
      <c r="D17" s="11"/>
      <c r="E17" s="11"/>
      <c r="F17" s="11"/>
      <c r="G17" s="12" t="s">
        <v>98</v>
      </c>
      <c r="H17" s="11"/>
      <c r="I17" s="12" t="s">
        <v>98</v>
      </c>
      <c r="J17" s="11"/>
      <c r="K17" s="11"/>
      <c r="L17" s="11"/>
      <c r="M17" s="11"/>
      <c r="N17" s="11"/>
    </row>
    <row r="18" ht="37.5" customHeight="1" spans="1:14" x14ac:dyDescent="0.25">
      <c r="A18" s="14" t="s">
        <v>54</v>
      </c>
      <c r="B18" s="11"/>
      <c r="C18" s="11"/>
      <c r="D18" s="11"/>
      <c r="E18" s="11"/>
      <c r="F18" s="11"/>
      <c r="G18" s="12" t="s">
        <v>55</v>
      </c>
      <c r="H18" s="11"/>
      <c r="I18" s="12" t="s">
        <v>99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 t="s">
        <v>100</v>
      </c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 t="s">
        <v>100</v>
      </c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 t="s">
        <v>100</v>
      </c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5" activePane="bottomRight" state="frozen"/>
      <selection pane="bottomRight" activeCell="I39" sqref="I3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7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102</v>
      </c>
      <c r="H3" s="11"/>
      <c r="I3" s="12" t="s">
        <v>103</v>
      </c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56.25" customHeight="1" spans="1:14" x14ac:dyDescent="0.25">
      <c r="A6" s="13" t="s">
        <v>40</v>
      </c>
      <c r="B6" s="11"/>
      <c r="C6" s="11"/>
      <c r="D6" s="11"/>
      <c r="E6" s="11"/>
      <c r="F6" s="11"/>
      <c r="G6" s="12" t="s">
        <v>104</v>
      </c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 t="s">
        <v>105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37.5" customHeight="1" spans="1:14" x14ac:dyDescent="0.25">
      <c r="A25" s="14" t="s">
        <v>63</v>
      </c>
      <c r="B25" s="11"/>
      <c r="C25" s="11"/>
      <c r="D25" s="11"/>
      <c r="E25" s="11"/>
      <c r="F25" s="11"/>
      <c r="G25" s="12" t="s">
        <v>106</v>
      </c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12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107</v>
      </c>
      <c r="H38" s="11"/>
      <c r="I38" s="12" t="s">
        <v>108</v>
      </c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1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spans="1:14" x14ac:dyDescent="0.25">
      <c r="A3" s="10" t="s">
        <v>33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6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37.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111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4" activePane="bottomRight" state="frozen"/>
      <selection pane="bottomRight" activeCell="I17" sqref="I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37.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111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ht="37.5" customHeight="1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 t="s">
        <v>113</v>
      </c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51</v>
      </c>
      <c r="B17" s="11"/>
      <c r="C17" s="11"/>
      <c r="D17" s="11"/>
      <c r="E17" s="11"/>
      <c r="F17" s="11"/>
      <c r="G17" s="12"/>
      <c r="H17" s="11"/>
      <c r="I17" s="12" t="s">
        <v>114</v>
      </c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 t="s">
        <v>115</v>
      </c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116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</row>
    <row r="3" ht="37.5" customHeight="1" spans="1:14" x14ac:dyDescent="0.25">
      <c r="A3" s="10" t="s">
        <v>33</v>
      </c>
      <c r="B3" s="11"/>
      <c r="C3" s="11"/>
      <c r="D3" s="11"/>
      <c r="E3" s="11"/>
      <c r="F3" s="11"/>
      <c r="G3" s="12" t="s">
        <v>118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49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50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51</v>
      </c>
      <c r="B17" s="11"/>
      <c r="C17" s="11"/>
      <c r="D17" s="11"/>
      <c r="E17" s="11"/>
      <c r="F17" s="11"/>
      <c r="G17" s="12" t="s">
        <v>119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54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目录</vt:lpstr>
      <vt:lpstr>合计</vt:lpstr>
      <vt:lpstr>上海同盛大厦项目</vt:lpstr>
      <vt:lpstr>豪孚迪安保项目</vt:lpstr>
      <vt:lpstr>华东化工仓储安保项目</vt:lpstr>
      <vt:lpstr>寰球工程物业项目_合并</vt:lpstr>
      <vt:lpstr>寰球工程物业项目_222200150224</vt:lpstr>
      <vt:lpstr>寰球工程物业项目_222200150225</vt:lpstr>
      <vt:lpstr>长泰影院保洁项目</vt:lpstr>
      <vt:lpstr>川沙影院保洁项目</vt:lpstr>
      <vt:lpstr>上海世纪大道中石油综合物业项目</vt:lpstr>
      <vt:lpstr>上海世纪大道中石油综合餐饮项目</vt:lpstr>
      <vt:lpstr>世纪大道中石油上海大厦能源转售项目</vt:lpstr>
      <vt:lpstr>中石油上海临港新材料研究院配餐项目</vt:lpstr>
      <vt:lpstr>中石油上海临港新材料研究院物业项目</vt:lpstr>
      <vt:lpstr>陆家嘴金融城白领文化艺术中心物业项目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Administrator</cp:lastModifiedBy>
  <dcterms:created xsi:type="dcterms:W3CDTF">2026-07-20T08:17:00Z</dcterms:created>
  <dcterms:modified xsi:type="dcterms:W3CDTF">2026-09-02T07:57:29Z</dcterms:modified>
</cp:coreProperties>
</file>