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 filterPrivacy="1"/>
  <xr:revisionPtr revIDLastSave="0" documentId="13_ncr:1_{30FD2591-4FD0-074E-B965-6B3B64504838}" xr6:coauthVersionLast="47" xr6:coauthVersionMax="47" xr10:uidLastSave="{00000000-0000-0000-0000-000000000000}"/>
  <bookViews>
    <workbookView xWindow="0" yWindow="660" windowWidth="28800" windowHeight="12260" activeTab="5" xr2:uid="{00000000-000D-0000-FFFF-FFFF00000000}"/>
  </bookViews>
  <sheets>
    <sheet name="目录" sheetId="2" r:id="rId1"/>
    <sheet name="合计" sheetId="3" r:id="rId2"/>
    <sheet name="上海同盛大厦项目" sheetId="4" r:id="rId3"/>
    <sheet name="豪孚迪安保项目" sheetId="5" r:id="rId4"/>
    <sheet name="华东化工仓储安保项目" sheetId="6" r:id="rId5"/>
    <sheet name="寰球工程物业项目_合并" sheetId="7" r:id="rId6"/>
    <sheet name="寰球工程保洁项目" sheetId="8" r:id="rId7"/>
    <sheet name="长泰影院保洁项目" sheetId="9" r:id="rId8"/>
    <sheet name="川沙影院保洁项目" sheetId="10" r:id="rId9"/>
    <sheet name="上海世纪大道中石油综合物业项目" sheetId="11" r:id="rId10"/>
    <sheet name="上海世纪大道中石油综合餐饮项目" sheetId="12" r:id="rId11"/>
    <sheet name="世纪大道中石油上海大厦能源转售项目" sheetId="13" r:id="rId12"/>
    <sheet name="中石油上海临港新材料研究院配餐项目" sheetId="14" r:id="rId13"/>
    <sheet name="中石油上海临港新材料研究院物业项目" sheetId="15" r:id="rId14"/>
    <sheet name="陆家嘴金融城白领文化艺术中心物业项目" sheetId="16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2" l="1"/>
  <c r="C15" i="2"/>
  <c r="C14" i="2"/>
  <c r="C13" i="2"/>
  <c r="C12" i="2"/>
  <c r="C11" i="2"/>
  <c r="C10" i="2"/>
  <c r="C9" i="2"/>
  <c r="C8" i="2"/>
  <c r="C7" i="2"/>
  <c r="C6" i="2"/>
  <c r="C5" i="2"/>
  <c r="C4" i="2"/>
  <c r="C3" i="2"/>
</calcChain>
</file>

<file path=xl/sharedStrings.xml><?xml version="1.0" encoding="utf-8"?>
<sst xmlns="http://schemas.openxmlformats.org/spreadsheetml/2006/main" count="798" uniqueCount="111">
  <si>
    <t>工作表目录</t>
  </si>
  <si>
    <t>序号</t>
  </si>
  <si>
    <t>工作表名称</t>
  </si>
  <si>
    <t>快捷跳转</t>
  </si>
  <si>
    <t>合计</t>
  </si>
  <si>
    <t>上海同盛大厦项目</t>
  </si>
  <si>
    <t>豪孚迪安保项目</t>
  </si>
  <si>
    <t>华东化工仓储安保项目</t>
  </si>
  <si>
    <t>寰球工程安保项目</t>
  </si>
  <si>
    <t>寰球工程保洁项目</t>
  </si>
  <si>
    <t>长泰影院保洁项目</t>
  </si>
  <si>
    <t>川沙影院保洁项目</t>
  </si>
  <si>
    <t>上海世纪大道中石油综合物业项目</t>
  </si>
  <si>
    <t>上海世纪大道中石油综合餐饮项目</t>
  </si>
  <si>
    <t>世纪大道中石油上海大厦能源转售项目</t>
  </si>
  <si>
    <t>中石油上海临港新材料研究院配餐项目</t>
  </si>
  <si>
    <t>中石油上海临港新材料研究院物业项目</t>
  </si>
  <si>
    <t>陆家嘴金融城白领文化艺术中心物业项目</t>
  </si>
  <si>
    <t>合计预算执行分析（2026年07月）</t>
  </si>
  <si>
    <t>项目</t>
  </si>
  <si>
    <t>本年累计</t>
  </si>
  <si>
    <t>去年同期</t>
  </si>
  <si>
    <t>进度预算</t>
  </si>
  <si>
    <t>全年预算</t>
  </si>
  <si>
    <t>同比
增减额</t>
  </si>
  <si>
    <t>变动原因</t>
  </si>
  <si>
    <t>较进度预算增减额</t>
  </si>
  <si>
    <t>当月
发生额</t>
  </si>
  <si>
    <t>上月
发生额</t>
  </si>
  <si>
    <t>当月预算</t>
  </si>
  <si>
    <t>环比
增减额</t>
  </si>
  <si>
    <t>较当月预算增减额</t>
  </si>
  <si>
    <t>一、 营业收入</t>
  </si>
  <si>
    <t xml:space="preserve">     减:（一）经营性采购支出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</si>
  <si>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</si>
  <si>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</si>
  <si>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</si>
  <si>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</si>
  <si>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</si>
  <si>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</si>
  <si>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</si>
  <si>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</si>
  <si>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</si>
  <si>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</si>
  <si>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</si>
  <si>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</si>
  <si>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</si>
  <si>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 xml:space="preserve">        （六）外包劳务支出</t>
  </si>
  <si>
    <t xml:space="preserve">        （七）维修费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</si>
  <si>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</si>
  <si>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</si>
  <si>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</si>
  <si>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</si>
  <si>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</si>
  <si>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</si>
  <si>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</si>
  <si>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</si>
  <si>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</si>
  <si>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</si>
  <si>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</si>
  <si>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sz val="14"/>
        <color indexed="8"/>
        <rFont val="方正仿宋_GBK"/>
        <charset val="134"/>
      </rPr>
      <t xml:space="preserve">                      其中：</t>
    </r>
    <r>
      <rPr>
        <sz val="14"/>
        <color indexed="8"/>
        <rFont val="方正仿宋_GBK"/>
        <charset val="134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</si>
  <si>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</si>
  <si>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</si>
  <si>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</si>
  <si>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</si>
  <si>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</si>
  <si>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</si>
  <si>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</si>
  <si>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</si>
  <si>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</si>
  <si>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上海同盛大厦项目预算执行分析（2026年07月）</t>
  </si>
  <si>
    <t>出租率、平均单价同比均下降</t>
  </si>
  <si>
    <t>出租率较进度预算下降</t>
  </si>
  <si>
    <t>因出租率下降，空置物业费增加</t>
  </si>
  <si>
    <t>上年同期少一个月税费</t>
  </si>
  <si>
    <t>因出租率下降，中介费减少</t>
  </si>
  <si>
    <t>豪孚迪安保项目预算执行分析（2026年07月）</t>
  </si>
  <si>
    <t>华东化工仓储安保项目预算执行分析（2026年07月）</t>
  </si>
  <si>
    <t>寰球工程安保项目预算执行分析（2026年07月）</t>
  </si>
  <si>
    <t>上年同期部分收入未进账</t>
  </si>
  <si>
    <t>上年同期部分成本费用未进账</t>
  </si>
  <si>
    <t>寰球工程保洁项目预算执行分析（2026年07月）</t>
  </si>
  <si>
    <t>长泰影院保洁项目预算执行分析（2026年07月）</t>
  </si>
  <si>
    <t>此项目今年终止</t>
  </si>
  <si>
    <t>川沙影院保洁项目预算执行分析（2026年07月）</t>
  </si>
  <si>
    <t>上海世纪大道中石油综合物业项目预算执行分析（2026年07月）</t>
  </si>
  <si>
    <t>1、新增代售酒水收入167万元；2、增加礼仪人工收入259万元</t>
  </si>
  <si>
    <t>1、新增代售酒水收入167万元；2、增加礼仪人工收入91万元</t>
  </si>
  <si>
    <t>新增代售酒水成本167万元</t>
  </si>
  <si>
    <t>通过合理调配加班工时、强化月度绩效考核、从严管控人员编制</t>
  </si>
  <si>
    <t>礼仪人工成本增加198万元</t>
  </si>
  <si>
    <t>主要是对应的礼仪人工成本</t>
  </si>
  <si>
    <t>与预算周期不同</t>
  </si>
  <si>
    <t>上海世纪大道中石油综合餐饮项目预算执行分析（2026年07月）</t>
  </si>
  <si>
    <t>今年入账了上年80万收入，且上年同期约50万元当期收入未进账</t>
  </si>
  <si>
    <t>今年入账了上年80万收入</t>
  </si>
  <si>
    <t>今年入账了上年收入对应的成本，且今年食材成本率较低</t>
  </si>
  <si>
    <t>精简人工成本费用</t>
  </si>
  <si>
    <t>今年同比减少了超市租金</t>
  </si>
  <si>
    <t>1、今年食材成本率同比下降39.3%；2、商品销售收入增加132万元；3、减少租金费用16万元；4、压降用工成本等经营费用</t>
  </si>
  <si>
    <t>1、今年食材成本率相比预算下降29.8%；2、商品销售收入增加78万元；3、压降用工成本等经营费用</t>
  </si>
  <si>
    <t>世纪大道中石油上海大厦能源转售项目预算执行分析（2026年07月）</t>
  </si>
  <si>
    <t>中石油上海临港新材料研究院配餐项目预算执行分析（2026年07月）</t>
  </si>
  <si>
    <t>该项目为上年新增项目</t>
  </si>
  <si>
    <t>中石油上海临港新材料研究院物业项目预算执行分析（2026年07月）</t>
  </si>
  <si>
    <t>甲方今年严格控制成本费用发生</t>
  </si>
  <si>
    <t>甲方同意新增个别缺岗人员编制</t>
  </si>
  <si>
    <t>费用进度周期不同</t>
  </si>
  <si>
    <t>上年同期对应收入未完全进账</t>
  </si>
  <si>
    <t>陆家嘴金融城白领文化艺术中心物业项目预算执行分析（2026年07月）</t>
  </si>
  <si>
    <t>上年同期成本费用未进账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</si>
</sst>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-#,##0.00;&quot;-&quot;"/>
  </numFmts>
  <fonts count="14">
    <font>
      <sz val="11"/>
      <color theme="1"/>
      <name val="Calibri"/>
      <family val="2"/>
      <scheme val="minor"/>
    </font>
    <font>
      <b/>
      <sz val="16"/>
      <name val="方正仿宋_GBK"/>
      <charset val="134"/>
    </font>
    <font>
      <b/>
      <sz val="12"/>
      <name val="方正仿宋_GBK"/>
      <charset val="134"/>
    </font>
    <font>
      <sz val="11"/>
      <name val="方正仿宋_GBK"/>
      <charset val="134"/>
    </font>
    <font>
      <u/>
      <sz val="11"/>
      <color rgb="FF0056B3"/>
      <name val="方正仿宋_GBK"/>
      <charset val="134"/>
    </font>
    <font>
      <sz val="14"/>
      <color theme="1"/>
      <name val="方正仿宋简体"/>
      <charset val="134"/>
    </font>
    <font>
      <b/>
      <sz val="20"/>
      <color theme="1"/>
      <name val="方正仿宋简体"/>
      <charset val="134"/>
    </font>
    <font>
      <sz val="20"/>
      <color theme="1"/>
      <name val="Calibri"/>
      <charset val="134"/>
      <scheme val="minor"/>
    </font>
    <font>
      <b/>
      <sz val="14"/>
      <color theme="1"/>
      <name val="方正仿宋_GBK"/>
      <charset val="134"/>
    </font>
    <font>
      <b/>
      <sz val="14"/>
      <name val="方正仿宋_GBK"/>
      <charset val="134"/>
    </font>
    <font>
      <sz val="14"/>
      <color theme="1"/>
      <name val="方正仿宋_GBK"/>
      <charset val="134"/>
    </font>
    <font>
      <sz val="14"/>
      <name val="方正仿宋_GBK"/>
      <charset val="134"/>
    </font>
    <font>
      <sz val="14"/>
      <color indexed="8"/>
      <name val="方正仿宋_GBK"/>
      <charset val="134"/>
    </font>
    <font>
      <b/>
      <sz val="14"/>
      <color indexed="8"/>
      <name val="方正仿宋_GBK"/>
      <charset val="134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zoomScaleNormal="100" workbookViewId="0">
      <selection activeCell="C7" sqref="C7"/>
    </sheetView>
  </sheetViews>
  <sheetFormatPr baseColWidth="10" defaultColWidth="9" defaultRowHeight="13.5" customHeight="1"/>
  <cols>
    <col min="1" max="1" width="10" customWidth="1"/>
    <col min="2" max="2" width="36" customWidth="1"/>
    <col min="3" max="3" width="20" customWidth="1"/>
  </cols>
  <sheetData>
    <row r="1" spans="1:3" ht="32" customHeight="1">
      <c r="A1" s="22" t="s">
        <v>0</v>
      </c>
      <c r="B1" s="22"/>
      <c r="C1" s="22"/>
    </row>
    <row r="2" spans="1:3" ht="26" customHeight="1">
      <c r="A2" s="1" t="s">
        <v>1</v>
      </c>
      <c r="B2" s="1" t="s">
        <v>2</v>
      </c>
      <c r="C2" s="1" t="s">
        <v>3</v>
      </c>
    </row>
    <row r="3" spans="1:3" ht="22" customHeight="1">
      <c r="A3" s="2"/>
      <c r="B3" s="3" t="s">
        <v>4</v>
      </c>
      <c r="C3" s="4" t="str">
        <f>HYPERLINK("#'合计'!A1","点击跳转 ➔")</f>
        <v>点击跳转 ➔</v>
      </c>
    </row>
    <row r="4" spans="1:3" ht="22" customHeight="1">
      <c r="A4" s="2"/>
      <c r="B4" s="3" t="s">
        <v>5</v>
      </c>
      <c r="C4" s="4" t="str">
        <f>HYPERLINK("#'上海同盛大厦项目'!A1","点击跳转 ➔")</f>
        <v>点击跳转 ➔</v>
      </c>
    </row>
    <row r="5" spans="1:3" ht="22" customHeight="1">
      <c r="A5" s="2"/>
      <c r="B5" s="3" t="s">
        <v>6</v>
      </c>
      <c r="C5" s="4" t="str">
        <f>HYPERLINK("#'豪孚迪安保项目'!A1","点击跳转 ➔")</f>
        <v>点击跳转 ➔</v>
      </c>
    </row>
    <row r="6" spans="1:3" ht="22" customHeight="1">
      <c r="A6" s="2"/>
      <c r="B6" s="3" t="s">
        <v>7</v>
      </c>
      <c r="C6" s="4" t="str">
        <f>HYPERLINK("#'华东化工仓储安保项目'!A1","点击跳转 ➔")</f>
        <v>点击跳转 ➔</v>
      </c>
    </row>
    <row r="7" spans="1:3" ht="22" customHeight="1">
      <c r="A7" s="2"/>
      <c r="B7" s="3" t="s">
        <v>8</v>
      </c>
      <c r="C7" s="4" t="str">
        <f>HYPERLINK("#'寰球工程安保项目'!A1","点击跳转 ➔")</f>
        <v>点击跳转 ➔</v>
      </c>
    </row>
    <row r="8" spans="1:3" ht="22" customHeight="1">
      <c r="A8" s="2"/>
      <c r="B8" s="3" t="s">
        <v>9</v>
      </c>
      <c r="C8" s="4" t="str">
        <f>HYPERLINK("#'寰球工程保洁项目'!A1","点击跳转 ➔")</f>
        <v>点击跳转 ➔</v>
      </c>
    </row>
    <row r="9" spans="1:3" ht="22" customHeight="1">
      <c r="A9" s="2"/>
      <c r="B9" s="3" t="s">
        <v>10</v>
      </c>
      <c r="C9" s="4" t="str">
        <f>HYPERLINK("#'长泰影院保洁项目'!A1","点击跳转 ➔")</f>
        <v>点击跳转 ➔</v>
      </c>
    </row>
    <row r="10" spans="1:3" ht="22" customHeight="1">
      <c r="A10" s="2"/>
      <c r="B10" s="3" t="s">
        <v>11</v>
      </c>
      <c r="C10" s="4" t="str">
        <f>HYPERLINK("#'川沙影院保洁项目'!A1","点击跳转 ➔")</f>
        <v>点击跳转 ➔</v>
      </c>
    </row>
    <row r="11" spans="1:3" ht="22" customHeight="1">
      <c r="A11" s="2"/>
      <c r="B11" s="3" t="s">
        <v>12</v>
      </c>
      <c r="C11" s="4" t="str">
        <f>HYPERLINK("#'上海世纪大道中石油综合物业项目'!A1","点击跳转 ➔")</f>
        <v>点击跳转 ➔</v>
      </c>
    </row>
    <row r="12" spans="1:3" ht="22" customHeight="1">
      <c r="A12" s="2"/>
      <c r="B12" s="3" t="s">
        <v>13</v>
      </c>
      <c r="C12" s="4" t="str">
        <f>HYPERLINK("#'上海世纪大道中石油综合餐饮项目'!A1","点击跳转 ➔")</f>
        <v>点击跳转 ➔</v>
      </c>
    </row>
    <row r="13" spans="1:3" ht="22" customHeight="1">
      <c r="A13" s="2"/>
      <c r="B13" s="3" t="s">
        <v>14</v>
      </c>
      <c r="C13" s="4" t="str">
        <f>HYPERLINK("#'世纪大道中石油上海大厦能源转售项目'!A1","点击跳转 ➔")</f>
        <v>点击跳转 ➔</v>
      </c>
    </row>
    <row r="14" spans="1:3" ht="22" customHeight="1">
      <c r="A14" s="2"/>
      <c r="B14" s="3" t="s">
        <v>15</v>
      </c>
      <c r="C14" s="4" t="str">
        <f>HYPERLINK("#'中石油上海临港新材料研究院配餐项目'!A1","点击跳转 ➔")</f>
        <v>点击跳转 ➔</v>
      </c>
    </row>
    <row r="15" spans="1:3" ht="22" customHeight="1">
      <c r="A15" s="2"/>
      <c r="B15" s="3" t="s">
        <v>16</v>
      </c>
      <c r="C15" s="4" t="str">
        <f>HYPERLINK("#'中石油上海临港新材料研究院物业项目'!A1","点击跳转 ➔")</f>
        <v>点击跳转 ➔</v>
      </c>
    </row>
    <row r="16" spans="1:3" ht="22" customHeight="1">
      <c r="A16" s="2"/>
      <c r="B16" s="3" t="s">
        <v>17</v>
      </c>
      <c r="C16" s="4" t="str">
        <f>HYPERLINK("#'陆家嘴金融城白领文化艺术中心物业项目'!A1","点击跳转 ➔")</f>
        <v>点击跳转 ➔</v>
      </c>
    </row>
  </sheetData>
  <mergeCells count="1">
    <mergeCell ref="A1:C1"/>
  </mergeCell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"/>
  <sheetViews>
    <sheetView zoomScaleNormal="100" workbookViewId="0">
      <pane xSplit="1" ySplit="2" topLeftCell="B15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18">
      <c r="A3" s="9" t="s">
        <v>32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46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G26" sqref="G26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70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37.5" customHeight="1">
      <c r="A3" s="9" t="s">
        <v>32</v>
      </c>
      <c r="B3" s="10"/>
      <c r="C3" s="10"/>
      <c r="D3" s="10"/>
      <c r="E3" s="10"/>
      <c r="F3" s="10"/>
      <c r="G3" s="11" t="s">
        <v>71</v>
      </c>
      <c r="H3" s="10"/>
      <c r="I3" s="11" t="s">
        <v>72</v>
      </c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46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37.5" customHeight="1">
      <c r="A21" s="13" t="s">
        <v>50</v>
      </c>
      <c r="B21" s="10"/>
      <c r="C21" s="10"/>
      <c r="D21" s="10"/>
      <c r="E21" s="10"/>
      <c r="F21" s="10"/>
      <c r="G21" s="11" t="s">
        <v>73</v>
      </c>
      <c r="H21" s="10"/>
      <c r="I21" s="11" t="s">
        <v>73</v>
      </c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37.5" customHeight="1">
      <c r="A24" s="13" t="s">
        <v>53</v>
      </c>
      <c r="B24" s="10"/>
      <c r="C24" s="10"/>
      <c r="D24" s="10"/>
      <c r="E24" s="10"/>
      <c r="F24" s="10"/>
      <c r="G24" s="11" t="s">
        <v>74</v>
      </c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37.5" customHeight="1">
      <c r="A26" s="13" t="s">
        <v>55</v>
      </c>
      <c r="B26" s="10"/>
      <c r="C26" s="10"/>
      <c r="D26" s="10"/>
      <c r="E26" s="10"/>
      <c r="F26" s="10"/>
      <c r="G26" s="11" t="s">
        <v>75</v>
      </c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0"/>
  <sheetViews>
    <sheetView zoomScaleNormal="100" workbookViewId="0">
      <pane xSplit="1" ySplit="2" topLeftCell="B27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76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18">
      <c r="A3" s="9" t="s">
        <v>32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46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0"/>
  <sheetViews>
    <sheetView zoomScaleNormal="100" workbookViewId="0">
      <pane xSplit="1" ySplit="2" topLeftCell="B27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77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18">
      <c r="A3" s="9" t="s">
        <v>32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46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tabSelected="1"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78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37.5" customHeight="1">
      <c r="A3" s="9" t="s">
        <v>32</v>
      </c>
      <c r="B3" s="10"/>
      <c r="C3" s="10"/>
      <c r="D3" s="10"/>
      <c r="E3" s="10"/>
      <c r="F3" s="10"/>
      <c r="G3" s="11" t="s">
        <v>79</v>
      </c>
      <c r="H3" s="10"/>
      <c r="I3" s="11"/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37.5" customHeight="1">
      <c r="A17" s="13" t="s">
        <v>46</v>
      </c>
      <c r="B17" s="10"/>
      <c r="C17" s="10"/>
      <c r="D17" s="10"/>
      <c r="E17" s="10"/>
      <c r="F17" s="10"/>
      <c r="G17" s="11" t="s">
        <v>80</v>
      </c>
      <c r="H17" s="10"/>
      <c r="I17" s="11"/>
      <c r="J17" s="10"/>
      <c r="K17" s="10"/>
      <c r="L17" s="10"/>
      <c r="M17" s="10"/>
      <c r="N17" s="10"/>
    </row>
    <row r="18" spans="1:14" ht="37.5" customHeight="1">
      <c r="A18" s="13" t="s">
        <v>47</v>
      </c>
      <c r="B18" s="10"/>
      <c r="C18" s="10"/>
      <c r="D18" s="10"/>
      <c r="E18" s="10"/>
      <c r="F18" s="10"/>
      <c r="G18" s="11" t="s">
        <v>80</v>
      </c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zoomScaleNormal="100" workbookViewId="0">
      <pane xSplit="1" ySplit="2" topLeftCell="B33" activePane="bottomRight" state="frozen"/>
      <selection pane="topRight"/>
      <selection pane="bottomLeft"/>
      <selection pane="bottomRight" activeCell="I17" sqref="I17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18">
      <c r="A3" s="9" t="s">
        <v>32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46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82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18">
      <c r="A3" s="9" t="s">
        <v>32</v>
      </c>
      <c r="B3" s="10"/>
      <c r="C3" s="10"/>
      <c r="D3" s="10"/>
      <c r="E3" s="10"/>
      <c r="F3" s="10"/>
      <c r="G3" s="11" t="s">
        <v>83</v>
      </c>
      <c r="H3" s="10"/>
      <c r="I3" s="11"/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46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0"/>
  <sheetViews>
    <sheetView zoomScaleNormal="100" workbookViewId="0">
      <pane xSplit="1" ySplit="2" topLeftCell="B17" activePane="bottomRight" state="frozen"/>
      <selection pane="topRight"/>
      <selection pane="bottomLeft"/>
      <selection pane="bottomRight" activeCell="G3" sqref="G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84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18">
      <c r="A3" s="9" t="s">
        <v>32</v>
      </c>
      <c r="B3" s="10"/>
      <c r="C3" s="10"/>
      <c r="D3" s="10"/>
      <c r="E3" s="10"/>
      <c r="F3" s="10"/>
      <c r="G3" s="11" t="s">
        <v>83</v>
      </c>
      <c r="H3" s="10"/>
      <c r="I3" s="11"/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46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0"/>
  <sheetViews>
    <sheetView zoomScaleNormal="100" workbookViewId="0">
      <pane xSplit="1" ySplit="2" topLeftCell="B11" activePane="bottomRight" state="frozen"/>
      <selection pane="topRight"/>
      <selection pane="bottomLeft"/>
      <selection pane="bottomRight" activeCell="G21" sqref="G21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85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56.25" customHeight="1">
      <c r="A3" s="9" t="s">
        <v>32</v>
      </c>
      <c r="B3" s="10"/>
      <c r="C3" s="10"/>
      <c r="D3" s="10"/>
      <c r="E3" s="10"/>
      <c r="F3" s="10"/>
      <c r="G3" s="11" t="s">
        <v>86</v>
      </c>
      <c r="H3" s="10"/>
      <c r="I3" s="11" t="s">
        <v>87</v>
      </c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37.5" customHeight="1">
      <c r="A9" s="12" t="s">
        <v>38</v>
      </c>
      <c r="B9" s="10"/>
      <c r="C9" s="10"/>
      <c r="D9" s="10"/>
      <c r="E9" s="10"/>
      <c r="F9" s="10"/>
      <c r="G9" s="11" t="s">
        <v>88</v>
      </c>
      <c r="H9" s="10"/>
      <c r="I9" s="11" t="s">
        <v>88</v>
      </c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75" customHeight="1">
      <c r="A17" s="13" t="s">
        <v>46</v>
      </c>
      <c r="B17" s="10"/>
      <c r="C17" s="10"/>
      <c r="D17" s="10"/>
      <c r="E17" s="10"/>
      <c r="F17" s="10"/>
      <c r="G17" s="11" t="s">
        <v>89</v>
      </c>
      <c r="H17" s="10"/>
      <c r="I17" s="11" t="s">
        <v>89</v>
      </c>
      <c r="J17" s="10"/>
      <c r="K17" s="10"/>
      <c r="L17" s="10"/>
      <c r="M17" s="10"/>
      <c r="N17" s="10"/>
    </row>
    <row r="18" spans="1:14" ht="37.5" customHeight="1">
      <c r="A18" s="13" t="s">
        <v>47</v>
      </c>
      <c r="B18" s="10"/>
      <c r="C18" s="10"/>
      <c r="D18" s="10"/>
      <c r="E18" s="10"/>
      <c r="F18" s="10"/>
      <c r="G18" s="11" t="s">
        <v>90</v>
      </c>
      <c r="H18" s="10"/>
      <c r="I18" s="11" t="s">
        <v>91</v>
      </c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 t="s">
        <v>92</v>
      </c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 t="s">
        <v>92</v>
      </c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 t="s">
        <v>92</v>
      </c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 t="s">
        <v>92</v>
      </c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0"/>
  <sheetViews>
    <sheetView zoomScaleNormal="100" workbookViewId="0">
      <pane xSplit="1" ySplit="2" topLeftCell="B22" activePane="bottomRight" state="frozen"/>
      <selection pane="topRight"/>
      <selection pane="bottomLeft"/>
      <selection pane="bottomRight" activeCell="H14" sqref="H14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93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75" customHeight="1">
      <c r="A3" s="9" t="s">
        <v>32</v>
      </c>
      <c r="B3" s="10"/>
      <c r="C3" s="10"/>
      <c r="D3" s="10"/>
      <c r="E3" s="10"/>
      <c r="F3" s="10"/>
      <c r="G3" s="11" t="s">
        <v>94</v>
      </c>
      <c r="H3" s="10"/>
      <c r="I3" s="11" t="s">
        <v>95</v>
      </c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56.25" customHeight="1">
      <c r="A6" s="12" t="s">
        <v>35</v>
      </c>
      <c r="B6" s="10"/>
      <c r="C6" s="10"/>
      <c r="D6" s="10"/>
      <c r="E6" s="10"/>
      <c r="F6" s="10"/>
      <c r="G6" s="11" t="s">
        <v>96</v>
      </c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46</v>
      </c>
      <c r="B17" s="10"/>
      <c r="C17" s="10"/>
      <c r="D17" s="10"/>
      <c r="E17" s="10"/>
      <c r="F17" s="10"/>
      <c r="G17" s="11" t="s">
        <v>97</v>
      </c>
      <c r="H17" s="10"/>
      <c r="I17" s="11"/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37.5" customHeight="1">
      <c r="A25" s="13" t="s">
        <v>54</v>
      </c>
      <c r="B25" s="10"/>
      <c r="C25" s="10"/>
      <c r="D25" s="10"/>
      <c r="E25" s="10"/>
      <c r="F25" s="10"/>
      <c r="G25" s="11" t="s">
        <v>98</v>
      </c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12.5" customHeight="1">
      <c r="A38" s="19" t="s">
        <v>67</v>
      </c>
      <c r="B38" s="10"/>
      <c r="C38" s="10"/>
      <c r="D38" s="10"/>
      <c r="E38" s="10"/>
      <c r="F38" s="10"/>
      <c r="G38" s="11" t="s">
        <v>99</v>
      </c>
      <c r="H38" s="10"/>
      <c r="I38" s="11" t="s">
        <v>100</v>
      </c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101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18">
      <c r="A3" s="9" t="s">
        <v>32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46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40"/>
  <sheetViews>
    <sheetView zoomScaleNormal="100" workbookViewId="0">
      <pane xSplit="1" ySplit="2" topLeftCell="B32" activePane="bottomRight" state="frozen"/>
      <selection pane="topRight"/>
      <selection pane="bottomLeft"/>
      <selection pane="bottomRight" activeCell="G38" sqref="G38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102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37.5" customHeight="1">
      <c r="A3" s="9" t="s">
        <v>32</v>
      </c>
      <c r="B3" s="10"/>
      <c r="C3" s="10"/>
      <c r="D3" s="10"/>
      <c r="E3" s="10"/>
      <c r="F3" s="10"/>
      <c r="G3" s="11" t="s">
        <v>103</v>
      </c>
      <c r="H3" s="10"/>
      <c r="I3" s="11"/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46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40"/>
  <sheetViews>
    <sheetView zoomScaleNormal="100" workbookViewId="0">
      <pane xSplit="1" ySplit="2" topLeftCell="B18" activePane="bottomRight" state="frozen"/>
      <selection pane="topRight"/>
      <selection pane="bottomLeft"/>
      <selection pane="bottomRight" activeCell="I22" sqref="I22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104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37.5" customHeight="1">
      <c r="A3" s="9" t="s">
        <v>32</v>
      </c>
      <c r="B3" s="10"/>
      <c r="C3" s="10"/>
      <c r="D3" s="10"/>
      <c r="E3" s="10"/>
      <c r="F3" s="10"/>
      <c r="G3" s="11" t="s">
        <v>103</v>
      </c>
      <c r="H3" s="10"/>
      <c r="I3" s="11"/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37.5" customHeight="1">
      <c r="A7" s="12" t="s">
        <v>36</v>
      </c>
      <c r="B7" s="10"/>
      <c r="C7" s="10"/>
      <c r="D7" s="10"/>
      <c r="E7" s="10"/>
      <c r="F7" s="10"/>
      <c r="G7" s="11"/>
      <c r="H7" s="10"/>
      <c r="I7" s="11" t="s">
        <v>105</v>
      </c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37.5" customHeight="1">
      <c r="A17" s="13" t="s">
        <v>46</v>
      </c>
      <c r="B17" s="10"/>
      <c r="C17" s="10"/>
      <c r="D17" s="10"/>
      <c r="E17" s="10"/>
      <c r="F17" s="10"/>
      <c r="G17" s="11"/>
      <c r="H17" s="10"/>
      <c r="I17" s="11" t="s">
        <v>106</v>
      </c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 t="s">
        <v>107</v>
      </c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37.5" customHeight="1">
      <c r="A38" s="19" t="s">
        <v>67</v>
      </c>
      <c r="B38" s="10"/>
      <c r="C38" s="10"/>
      <c r="D38" s="10"/>
      <c r="E38" s="10"/>
      <c r="F38" s="10"/>
      <c r="G38" s="11" t="s">
        <v>108</v>
      </c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0"/>
  <sheetViews>
    <sheetView zoomScaleNormal="100" workbookViewId="0">
      <pane xSplit="1" ySplit="2" topLeftCell="B19" activePane="bottomRight" state="frozen"/>
      <selection pane="topRight"/>
      <selection pane="bottomLeft"/>
      <selection pane="bottomRight" activeCell="G17" sqref="G17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109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25</v>
      </c>
      <c r="J2" s="8" t="s">
        <v>27</v>
      </c>
      <c r="K2" s="8" t="s">
        <v>28</v>
      </c>
      <c r="L2" s="8" t="s">
        <v>29</v>
      </c>
      <c r="M2" s="8" t="s">
        <v>30</v>
      </c>
      <c r="N2" s="8" t="s">
        <v>31</v>
      </c>
    </row>
    <row r="3" spans="1:14" ht="37.5" customHeight="1">
      <c r="A3" s="9" t="s">
        <v>32</v>
      </c>
      <c r="B3" s="10"/>
      <c r="C3" s="10"/>
      <c r="D3" s="10"/>
      <c r="E3" s="10"/>
      <c r="F3" s="10"/>
      <c r="G3" s="11" t="s">
        <v>79</v>
      </c>
      <c r="H3" s="10"/>
      <c r="I3" s="11"/>
      <c r="J3" s="10"/>
      <c r="K3" s="10"/>
      <c r="L3" s="10"/>
      <c r="M3" s="10"/>
      <c r="N3" s="10"/>
    </row>
    <row r="4" spans="1:14" ht="18">
      <c r="A4" s="12" t="s">
        <v>33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34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35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36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37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38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39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40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41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42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43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44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45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37.5" customHeight="1">
      <c r="A17" s="13" t="s">
        <v>46</v>
      </c>
      <c r="B17" s="10"/>
      <c r="C17" s="10"/>
      <c r="D17" s="10"/>
      <c r="E17" s="10"/>
      <c r="F17" s="10"/>
      <c r="G17" s="11" t="s">
        <v>110</v>
      </c>
      <c r="H17" s="10"/>
      <c r="I17" s="11"/>
      <c r="J17" s="10"/>
      <c r="K17" s="10"/>
      <c r="L17" s="10"/>
      <c r="M17" s="10"/>
      <c r="N17" s="10"/>
    </row>
    <row r="18" spans="1:14" ht="18">
      <c r="A18" s="13" t="s">
        <v>47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48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49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50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51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52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53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54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55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56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57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58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59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60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61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62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63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64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65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66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67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68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69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目录</vt:lpstr>
      <vt:lpstr>合计</vt:lpstr>
      <vt:lpstr>上海同盛大厦项目</vt:lpstr>
      <vt:lpstr>豪孚迪安保项目</vt:lpstr>
      <vt:lpstr>华东化工仓储安保项目</vt:lpstr>
      <vt:lpstr>寰球工程物业项目_合并</vt:lpstr>
      <vt:lpstr>寰球工程保洁项目</vt:lpstr>
      <vt:lpstr>长泰影院保洁项目</vt:lpstr>
      <vt:lpstr>川沙影院保洁项目</vt:lpstr>
      <vt:lpstr>上海世纪大道中石油综合物业项目</vt:lpstr>
      <vt:lpstr>上海世纪大道中石油综合餐饮项目</vt:lpstr>
      <vt:lpstr>世纪大道中石油上海大厦能源转售项目</vt:lpstr>
      <vt:lpstr>中石油上海临港新材料研究院配餐项目</vt:lpstr>
      <vt:lpstr>中石油上海临港新材料研究院物业项目</vt:lpstr>
      <vt:lpstr>陆家嘴金融城白领文化艺术中心物业项目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2026-07-20T08:17:00Z</dcterms:created>
  <dcterms:modified xsi:type="dcterms:W3CDTF">2026-08-24T08:04:32Z</dcterms:modified>
</cp:coreProperties>
</file>